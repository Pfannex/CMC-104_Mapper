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fanne-NET\HomeControl\Code\Python\104-CMC-Mapper\CMC-104_Mapper\SITIPE\"/>
    </mc:Choice>
  </mc:AlternateContent>
  <bookViews>
    <workbookView xWindow="0" yWindow="0" windowWidth="25815" windowHeight="9780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</workbook>
</file>

<file path=xl/calcChain.xml><?xml version="1.0" encoding="utf-8"?>
<calcChain xmlns="http://schemas.openxmlformats.org/spreadsheetml/2006/main">
  <c r="G40" i="7" l="1"/>
  <c r="I40" i="7"/>
  <c r="H40" i="7"/>
  <c r="F40" i="7"/>
  <c r="H45" i="7" l="1"/>
  <c r="F45" i="7"/>
  <c r="I37" i="7" l="1"/>
  <c r="M28" i="7" l="1"/>
  <c r="M29" i="7" s="1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C28" i="7"/>
  <c r="I27" i="7"/>
  <c r="I25" i="7"/>
  <c r="M24" i="7"/>
  <c r="M25" i="7" s="1"/>
  <c r="I24" i="7"/>
  <c r="C24" i="7"/>
  <c r="C25" i="7" s="1"/>
  <c r="I23" i="7"/>
  <c r="M21" i="7"/>
  <c r="M22" i="7" s="1"/>
  <c r="C21" i="7"/>
  <c r="C22" i="7" s="1"/>
  <c r="C19" i="7"/>
  <c r="C18" i="7"/>
  <c r="I22" i="7"/>
  <c r="I21" i="7"/>
  <c r="I20" i="7"/>
  <c r="H18" i="7"/>
  <c r="H20" i="7" s="1"/>
  <c r="F18" i="7"/>
  <c r="F20" i="7" s="1"/>
  <c r="F22" i="7" s="1"/>
  <c r="I19" i="7"/>
  <c r="H19" i="7"/>
  <c r="I18" i="7"/>
  <c r="K17" i="7"/>
  <c r="K18" i="7" s="1"/>
  <c r="K20" i="7" s="1"/>
  <c r="K22" i="7" s="1"/>
  <c r="J17" i="7"/>
  <c r="J18" i="7" s="1"/>
  <c r="J20" i="7" s="1"/>
  <c r="J22" i="7" s="1"/>
  <c r="I17" i="7"/>
  <c r="H17" i="7"/>
  <c r="F17" i="7"/>
  <c r="F19" i="7" s="1"/>
  <c r="H21" i="7" l="1"/>
  <c r="H23" i="7" s="1"/>
  <c r="H22" i="7"/>
  <c r="J19" i="7"/>
  <c r="K19" i="7"/>
  <c r="K29" i="7"/>
  <c r="J25" i="7"/>
  <c r="J27" i="7" s="1"/>
  <c r="J28" i="7" s="1"/>
  <c r="J30" i="7" s="1"/>
  <c r="J31" i="7" s="1"/>
  <c r="J33" i="7" s="1"/>
  <c r="K25" i="7"/>
  <c r="K27" i="7" s="1"/>
  <c r="K28" i="7" s="1"/>
  <c r="K30" i="7" s="1"/>
  <c r="K32" i="7" s="1"/>
  <c r="J21" i="7"/>
  <c r="J23" i="7" s="1"/>
  <c r="J24" i="7" s="1"/>
  <c r="F21" i="7"/>
  <c r="F23" i="7" s="1"/>
  <c r="F24" i="7" s="1"/>
  <c r="K21" i="7"/>
  <c r="K23" i="7" s="1"/>
  <c r="K24" i="7" s="1"/>
  <c r="G15" i="7"/>
  <c r="I15" i="7" s="1"/>
  <c r="K31" i="7" l="1"/>
  <c r="K33" i="7" s="1"/>
  <c r="J32" i="7"/>
  <c r="F25" i="7"/>
  <c r="F27" i="7" s="1"/>
  <c r="J29" i="7"/>
  <c r="H25" i="7"/>
  <c r="H27" i="7" s="1"/>
  <c r="H24" i="7"/>
  <c r="K34" i="7"/>
  <c r="K35" i="7"/>
  <c r="J34" i="7"/>
  <c r="J37" i="7" s="1"/>
  <c r="J35" i="7"/>
  <c r="F28" i="7" l="1"/>
  <c r="F30" i="7" s="1"/>
  <c r="F29" i="7"/>
  <c r="H29" i="7"/>
  <c r="H28" i="7"/>
  <c r="H30" i="7" s="1"/>
  <c r="H31" i="7" l="1"/>
  <c r="H33" i="7" s="1"/>
  <c r="H32" i="7"/>
  <c r="F32" i="7"/>
  <c r="F31" i="7"/>
  <c r="F33" i="7" s="1"/>
  <c r="F34" i="7" l="1"/>
  <c r="F37" i="7" s="1"/>
  <c r="F35" i="7"/>
  <c r="H35" i="7"/>
  <c r="H34" i="7"/>
  <c r="H37" i="7" s="1"/>
</calcChain>
</file>

<file path=xl/sharedStrings.xml><?xml version="1.0" encoding="utf-8"?>
<sst xmlns="http://schemas.openxmlformats.org/spreadsheetml/2006/main" count="445" uniqueCount="253">
  <si>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</si>
  <si>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</si>
  <si>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</si>
  <si>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</si>
  <si>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</si>
  <si>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</si>
  <si>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</si>
  <si>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</si>
  <si>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</si>
  <si>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</si>
  <si>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</si>
  <si>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</si>
  <si>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</si>
  <si>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</si>
  <si>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</si>
  <si>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</si>
  <si>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</si>
  <si>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</si>
  <si>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</si>
  <si>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</si>
  <si>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</si>
  <si>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</si>
  <si>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</si>
  <si>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</si>
  <si>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</si>
  <si>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</si>
  <si>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</si>
  <si>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</si>
  <si>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</si>
  <si>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</si>
  <si>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</si>
  <si>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</si>
  <si>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</si>
  <si>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</si>
  <si>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</si>
  <si>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</si>
  <si>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</si>
  <si>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</si>
  <si>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</si>
  <si>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</si>
  <si>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</si>
  <si>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</si>
  <si>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</si>
  <si>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</si>
  <si>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</si>
  <si>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</si>
  <si>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</si>
  <si>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</si>
  <si>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</si>
  <si>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</si>
  <si>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</si>
  <si>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</si>
  <si>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</si>
  <si>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</si>
  <si>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</si>
  <si>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</si>
  <si>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</si>
  <si>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</si>
  <si>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</si>
  <si>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</si>
  <si>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</si>
  <si>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</si>
  <si>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</si>
  <si>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</si>
  <si>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</si>
  <si>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</si>
  <si>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</si>
  <si>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</si>
  <si>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</si>
  <si>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</si>
  <si>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</si>
  <si>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</si>
  <si>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</si>
  <si>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</si>
  <si>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</si>
  <si>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</si>
  <si>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</si>
  <si>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</si>
  <si>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</si>
  <si>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</si>
  <si>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</si>
  <si>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</si>
  <si>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</si>
  <si>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</si>
  <si>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</si>
  <si>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</si>
  <si>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</si>
  <si>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</si>
  <si>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</si>
  <si>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</si>
  <si>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</si>
  <si>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</si>
  <si>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</si>
  <si>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</si>
  <si>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</si>
  <si>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</si>
  <si>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</si>
  <si>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</si>
  <si>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</si>
  <si>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</si>
  <si>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</si>
  <si>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</si>
  <si>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</si>
  <si>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</si>
  <si>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</si>
  <si>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</si>
  <si>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</si>
  <si>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</si>
  <si>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</si>
  <si>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</si>
  <si>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</si>
  <si>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</si>
  <si>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</si>
  <si>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</si>
  <si>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</si>
  <si>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</si>
  <si>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</si>
  <si>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</si>
  <si>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</si>
  <si>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</si>
  <si>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</si>
  <si>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</si>
  <si>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</si>
  <si>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</si>
  <si>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</si>
  <si>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</si>
  <si>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</si>
  <si>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</si>
  <si>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</si>
  <si>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</si>
  <si>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</si>
  <si>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</si>
  <si>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</si>
  <si>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</si>
  <si>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</si>
  <si>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</si>
  <si>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</si>
  <si>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</si>
  <si>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</si>
  <si>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</si>
  <si>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</si>
  <si>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</si>
  <si>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</si>
  <si>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</si>
  <si>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</si>
  <si>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</si>
  <si>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</si>
  <si>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</si>
  <si>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</si>
  <si>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</si>
  <si>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</si>
  <si>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</si>
  <si>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</si>
  <si>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</si>
  <si>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</si>
  <si>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</si>
  <si>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</si>
  <si>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</si>
  <si>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</si>
  <si>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</si>
  <si>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</si>
  <si>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</si>
  <si>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</si>
  <si>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</si>
  <si>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</si>
  <si>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</si>
  <si>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</si>
  <si>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</si>
  <si>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</si>
  <si>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</si>
  <si>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</si>
  <si>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</si>
  <si>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</si>
  <si>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</si>
  <si>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</si>
  <si>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</si>
  <si>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</si>
  <si>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</si>
  <si>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</si>
  <si>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</si>
  <si>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</si>
  <si>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</si>
  <si>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</si>
  <si>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</si>
  <si>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</si>
  <si>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</si>
  <si>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</si>
  <si>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</si>
  <si>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</si>
  <si>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</si>
  <si>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</si>
  <si>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</si>
  <si>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</si>
  <si>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</si>
  <si>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</si>
  <si>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</si>
  <si>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</si>
  <si>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</si>
  <si>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</si>
  <si>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</si>
  <si>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</si>
  <si>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</si>
  <si>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</si>
  <si>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</si>
  <si>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</si>
  <si>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</si>
  <si>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</si>
  <si>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</si>
  <si>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</si>
  <si>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</si>
  <si>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</si>
  <si>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</si>
  <si>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</si>
  <si>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</si>
  <si>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</si>
  <si>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</si>
  <si>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</si>
  <si>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</si>
  <si>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</si>
  <si>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</si>
  <si>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</si>
  <si>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</si>
  <si>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</si>
  <si>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</si>
  <si>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</si>
  <si>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</si>
  <si>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</si>
  <si>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</si>
  <si>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</si>
  <si>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</si>
  <si>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</si>
  <si>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</si>
  <si>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</si>
  <si>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</si>
  <si>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</si>
  <si>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</si>
  <si>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</si>
  <si>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</si>
  <si>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</si>
  <si>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</si>
  <si>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</si>
  <si>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</si>
  <si>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</si>
  <si>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</si>
  <si>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</si>
  <si>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</si>
  <si>
    <t>testTime</t>
  </si>
  <si>
    <t>TestTime</t>
  </si>
  <si>
    <t>COMMAND</t>
  </si>
  <si>
    <t>MONITORING</t>
  </si>
  <si>
    <t>Status</t>
  </si>
  <si>
    <t>Power_Status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</si>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</sst>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2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Protection="1">
      <protection locked="0"/>
    </xf>
    <xf numFmtId="0" fontId="4" fillId="0" borderId="0" xfId="0" applyNumberFormat="1" applyFont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89"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59" totalsRowShown="0" headerRowDxfId="54" dataDxfId="53">
  <autoFilter ref="A1:AE5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7"/>
    <tableColumn id="10" name="Column4" dataDxfId="6"/>
    <tableColumn id="11" name="Column5" dataDxfId="5"/>
    <tableColumn id="12" name="Column6" dataDxfId="4"/>
    <tableColumn id="13" name="Column7" dataDxfId="3"/>
    <tableColumn id="14" name="Column8" dataDxfId="2"/>
    <tableColumn id="15" name="Column9" dataDxfId="0"/>
    <tableColumn id="16" name="Column10" dataDxfId="1"/>
    <tableColumn id="17" name="Column11" dataDxfId="44"/>
    <tableColumn id="18" name="Column12" dataDxfId="43"/>
    <tableColumn id="19" name="Column13" dataDxfId="42"/>
    <tableColumn id="20" name="Column14" dataDxfId="41"/>
    <tableColumn id="21" name="Column15" dataDxfId="40"/>
    <tableColumn id="22" name="Column16" dataDxfId="39"/>
    <tableColumn id="23" name="Column17" dataDxfId="38"/>
    <tableColumn id="24" name="Column18" dataDxfId="37"/>
    <tableColumn id="25" name="Column19" dataDxfId="36"/>
    <tableColumn id="26" name="Column20" dataDxfId="35"/>
    <tableColumn id="27" name="Column21" dataDxfId="34"/>
    <tableColumn id="28" name="Column22" dataDxfId="33"/>
    <tableColumn id="29" name="Column23" dataDxfId="32"/>
    <tableColumn id="30" name="Column24" dataDxfId="31"/>
    <tableColumn id="31" name="Column25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20" totalsRowShown="0" headerRowDxfId="29" dataDxfId="28">
  <tableColumns count="20">
    <tableColumn id="1" name="Test Case Name" dataDxfId="27"/>
    <tableColumn id="11" name="Test Case Description" dataDxfId="26"/>
    <tableColumn id="13" name="Step Number" dataDxfId="25"/>
    <tableColumn id="2" name="Step Name" dataDxfId="24"/>
    <tableColumn id="3" name="Element type" dataDxfId="23"/>
    <tableColumn id="16386" name="Element type detail" dataDxfId="22"/>
    <tableColumn id="18" name="Name" dataDxfId="21"/>
    <tableColumn id="17" name="Tag" dataDxfId="20"/>
    <tableColumn id="4" name="Column 1" dataDxfId="19"/>
    <tableColumn id="5" name="Column 2" dataDxfId="18"/>
    <tableColumn id="6" name="Column 3" dataDxfId="17"/>
    <tableColumn id="7" name="Column 4" dataDxfId="16"/>
    <tableColumn id="8" name="Column 5" dataDxfId="15"/>
    <tableColumn id="9" name="Column 6" dataDxfId="14"/>
    <tableColumn id="10" name="Column 7" dataDxfId="13"/>
    <tableColumn id="14" name="Column 8" dataDxfId="12"/>
    <tableColumn id="15" name="Column 9" dataDxfId="11"/>
    <tableColumn id="16" name="Column 10" dataDxfId="10"/>
    <tableColumn id="19" name="Column 11" dataDxfId="9"/>
    <tableColumn id="20" name="Column 12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zoomScale="90" workbookViewId="0">
      <selection activeCell="A12" sqref="A1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2"/>
  <sheetViews>
    <sheetView tabSelected="1" zoomScaleNormal="100" workbookViewId="0">
      <selection activeCell="G41" sqref="G41"/>
    </sheetView>
  </sheetViews>
  <sheetFormatPr baseColWidth="10" defaultColWidth="9.140625" defaultRowHeight="12.75" outlineLevelRow="1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hidden="1" outlineLevel="1" x14ac:dyDescent="0.2">
      <c r="F2" s="6" t="s">
        <v>32</v>
      </c>
      <c r="G2" s="6" t="s">
        <v>31</v>
      </c>
      <c r="H2" s="6" t="s">
        <v>76</v>
      </c>
      <c r="I2" s="6" t="s">
        <v>99</v>
      </c>
      <c r="J2" s="7" t="s">
        <v>100</v>
      </c>
      <c r="K2" s="7" t="s">
        <v>77</v>
      </c>
      <c r="L2" s="7" t="s">
        <v>101</v>
      </c>
      <c r="M2" s="7" t="s">
        <v>102</v>
      </c>
      <c r="N2" s="7" t="s">
        <v>78</v>
      </c>
      <c r="O2" s="7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hidden="1" outlineLevel="1" x14ac:dyDescent="0.2">
      <c r="F3" s="6" t="s">
        <v>42</v>
      </c>
      <c r="G3" s="6" t="s">
        <v>74</v>
      </c>
      <c r="H3" s="6" t="s">
        <v>31</v>
      </c>
      <c r="I3" s="6" t="s">
        <v>94</v>
      </c>
      <c r="J3" s="7" t="s">
        <v>75</v>
      </c>
      <c r="K3" s="7" t="s">
        <v>107</v>
      </c>
      <c r="L3" s="7" t="s">
        <v>108</v>
      </c>
      <c r="M3" s="7"/>
      <c r="N3" s="7"/>
      <c r="O3" s="7"/>
    </row>
    <row r="4" spans="1:31" hidden="1" outlineLevel="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7" t="s">
        <v>166</v>
      </c>
      <c r="K4" s="7" t="s">
        <v>167</v>
      </c>
      <c r="L4" s="7" t="s">
        <v>168</v>
      </c>
      <c r="M4" s="7" t="s">
        <v>169</v>
      </c>
      <c r="N4" s="7" t="s">
        <v>170</v>
      </c>
      <c r="O4" s="7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hidden="1" outlineLevel="1" x14ac:dyDescent="0.2">
      <c r="F5" s="6" t="s">
        <v>135</v>
      </c>
      <c r="G5" s="6" t="s">
        <v>74</v>
      </c>
      <c r="H5" s="6" t="s">
        <v>13</v>
      </c>
      <c r="I5" s="6" t="s">
        <v>94</v>
      </c>
      <c r="J5" s="7" t="s">
        <v>16</v>
      </c>
      <c r="K5" s="7" t="s">
        <v>17</v>
      </c>
      <c r="L5" s="7" t="s">
        <v>19</v>
      </c>
      <c r="M5" s="7" t="s">
        <v>21</v>
      </c>
      <c r="N5" s="7" t="s">
        <v>23</v>
      </c>
      <c r="O5" s="7" t="s">
        <v>154</v>
      </c>
      <c r="P5" s="6" t="s">
        <v>163</v>
      </c>
      <c r="Q5" s="6" t="s">
        <v>152</v>
      </c>
    </row>
    <row r="6" spans="1:31" s="10" customFormat="1" hidden="1" outlineLevel="1" x14ac:dyDescent="0.2">
      <c r="F6" s="10" t="s">
        <v>136</v>
      </c>
      <c r="G6" s="10" t="s">
        <v>74</v>
      </c>
      <c r="H6" s="10" t="s">
        <v>13</v>
      </c>
      <c r="I6" s="10" t="s">
        <v>94</v>
      </c>
      <c r="J6" s="11" t="s">
        <v>16</v>
      </c>
      <c r="K6" s="11" t="s">
        <v>17</v>
      </c>
      <c r="L6" s="11" t="s">
        <v>19</v>
      </c>
      <c r="M6" s="11" t="s">
        <v>21</v>
      </c>
      <c r="N6" s="11" t="s">
        <v>23</v>
      </c>
      <c r="O6" s="11" t="s">
        <v>154</v>
      </c>
      <c r="P6" s="10" t="s">
        <v>163</v>
      </c>
      <c r="Q6" s="10" t="s">
        <v>152</v>
      </c>
    </row>
    <row r="7" spans="1:31" hidden="1" outlineLevel="1" x14ac:dyDescent="0.2">
      <c r="F7" s="6" t="s">
        <v>148</v>
      </c>
      <c r="G7" s="6" t="s">
        <v>74</v>
      </c>
      <c r="H7" s="6" t="s">
        <v>13</v>
      </c>
      <c r="I7" s="6" t="s">
        <v>94</v>
      </c>
      <c r="J7" s="7" t="s">
        <v>149</v>
      </c>
      <c r="K7" s="7" t="s">
        <v>150</v>
      </c>
      <c r="L7" s="7" t="s">
        <v>151</v>
      </c>
      <c r="M7" s="7" t="s">
        <v>152</v>
      </c>
      <c r="N7" s="7" t="s">
        <v>153</v>
      </c>
      <c r="O7" s="7"/>
    </row>
    <row r="8" spans="1:31" hidden="1" outlineLevel="1" x14ac:dyDescent="0.2">
      <c r="F8" s="6" t="s">
        <v>193</v>
      </c>
      <c r="G8" s="6" t="s">
        <v>74</v>
      </c>
      <c r="H8" s="6" t="s">
        <v>13</v>
      </c>
      <c r="I8" s="6" t="s">
        <v>94</v>
      </c>
      <c r="J8" s="7" t="s">
        <v>149</v>
      </c>
      <c r="K8" s="7" t="s">
        <v>196</v>
      </c>
      <c r="L8" s="7" t="s">
        <v>194</v>
      </c>
      <c r="M8" s="7"/>
      <c r="N8" s="7"/>
      <c r="O8" s="7"/>
    </row>
    <row r="9" spans="1:31" hidden="1" outlineLevel="1" x14ac:dyDescent="0.2">
      <c r="F9" s="6" t="s">
        <v>158</v>
      </c>
      <c r="G9" s="6" t="s">
        <v>74</v>
      </c>
      <c r="H9" s="6" t="s">
        <v>13</v>
      </c>
      <c r="I9" s="6" t="s">
        <v>94</v>
      </c>
      <c r="J9" s="7" t="s">
        <v>159</v>
      </c>
      <c r="K9" s="7" t="s">
        <v>161</v>
      </c>
      <c r="L9" s="7"/>
      <c r="M9" s="7"/>
      <c r="N9" s="7"/>
      <c r="O9" s="7"/>
    </row>
    <row r="10" spans="1:31" hidden="1" outlineLevel="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7" t="s">
        <v>46</v>
      </c>
      <c r="K10" s="7" t="s">
        <v>47</v>
      </c>
      <c r="L10" s="7" t="s">
        <v>48</v>
      </c>
      <c r="M10" s="7" t="s">
        <v>49</v>
      </c>
      <c r="N10" s="7" t="s">
        <v>50</v>
      </c>
      <c r="O10" s="7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hidden="1" outlineLevel="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7" t="s">
        <v>64</v>
      </c>
      <c r="K11" s="7" t="s">
        <v>65</v>
      </c>
      <c r="L11" s="7" t="s">
        <v>66</v>
      </c>
      <c r="M11" s="7" t="s">
        <v>67</v>
      </c>
      <c r="N11" s="7" t="s">
        <v>68</v>
      </c>
      <c r="O11" s="7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hidden="1" outlineLevel="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7" t="s">
        <v>125</v>
      </c>
      <c r="K12" s="7" t="s">
        <v>126</v>
      </c>
      <c r="L12" s="7" t="s">
        <v>127</v>
      </c>
      <c r="M12" s="7" t="s">
        <v>128</v>
      </c>
      <c r="N12" s="7" t="s">
        <v>129</v>
      </c>
      <c r="O12" s="7" t="s">
        <v>130</v>
      </c>
      <c r="P12" s="6" t="s">
        <v>131</v>
      </c>
      <c r="Q12" s="6" t="s">
        <v>132</v>
      </c>
    </row>
    <row r="13" spans="1:31" collapsed="1" x14ac:dyDescent="0.2">
      <c r="J13" s="7"/>
      <c r="K13" s="7"/>
      <c r="L13" s="7"/>
      <c r="M13" s="7"/>
      <c r="N13" s="7"/>
      <c r="O13" s="7"/>
    </row>
    <row r="14" spans="1:31" x14ac:dyDescent="0.2">
      <c r="A14" s="8" t="s">
        <v>248</v>
      </c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7">
        <v>100</v>
      </c>
      <c r="K15" s="7">
        <v>1</v>
      </c>
      <c r="L15" s="7">
        <v>1</v>
      </c>
      <c r="M15" s="7">
        <v>0</v>
      </c>
      <c r="N15" s="7">
        <v>0</v>
      </c>
      <c r="O15" s="7">
        <v>45</v>
      </c>
    </row>
    <row r="16" spans="1:31" x14ac:dyDescent="0.2">
      <c r="J16" s="7"/>
      <c r="K16" s="7"/>
      <c r="L16" s="7"/>
      <c r="M16" s="7"/>
      <c r="N16" s="7"/>
      <c r="O16" s="7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7">
        <f>J15</f>
        <v>100</v>
      </c>
      <c r="K17" s="7">
        <f>K15</f>
        <v>1</v>
      </c>
      <c r="L17" s="7">
        <v>1</v>
      </c>
      <c r="M17" s="7">
        <v>1</v>
      </c>
      <c r="N17" s="7">
        <v>1</v>
      </c>
      <c r="O17" s="7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7">
        <f>J17</f>
        <v>100</v>
      </c>
      <c r="K18" s="7">
        <f>K17</f>
        <v>1</v>
      </c>
      <c r="L18" s="7">
        <v>1</v>
      </c>
      <c r="M18" s="7">
        <v>1</v>
      </c>
      <c r="N18" s="7">
        <v>2</v>
      </c>
      <c r="O18" s="7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7">
        <f>J17</f>
        <v>100</v>
      </c>
      <c r="K19" s="7">
        <f>K17</f>
        <v>1</v>
      </c>
      <c r="L19" s="7">
        <v>1</v>
      </c>
      <c r="M19" s="7">
        <v>1</v>
      </c>
      <c r="N19" s="7">
        <v>3</v>
      </c>
      <c r="O19" s="7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7">
        <f>J18</f>
        <v>100</v>
      </c>
      <c r="K20" s="7">
        <f>K18</f>
        <v>1</v>
      </c>
      <c r="L20" s="7">
        <v>1</v>
      </c>
      <c r="M20" s="7">
        <v>2</v>
      </c>
      <c r="N20" s="7">
        <v>1</v>
      </c>
      <c r="O20" s="7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7">
        <f>J20</f>
        <v>100</v>
      </c>
      <c r="K21" s="7">
        <f>K20</f>
        <v>1</v>
      </c>
      <c r="L21" s="7">
        <v>1</v>
      </c>
      <c r="M21" s="7">
        <f>M20</f>
        <v>2</v>
      </c>
      <c r="N21" s="7">
        <v>2</v>
      </c>
      <c r="O21" s="7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7">
        <f>J20</f>
        <v>100</v>
      </c>
      <c r="K22" s="7">
        <f>K20</f>
        <v>1</v>
      </c>
      <c r="L22" s="7">
        <v>1</v>
      </c>
      <c r="M22" s="7">
        <f>M21</f>
        <v>2</v>
      </c>
      <c r="N22" s="7">
        <v>3</v>
      </c>
      <c r="O22" s="7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7">
        <f>J21</f>
        <v>100</v>
      </c>
      <c r="K23" s="7">
        <f>K21</f>
        <v>1</v>
      </c>
      <c r="L23" s="7">
        <v>1</v>
      </c>
      <c r="M23" s="7">
        <v>3</v>
      </c>
      <c r="N23" s="7">
        <v>1</v>
      </c>
      <c r="O23" s="7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7">
        <f>J23</f>
        <v>100</v>
      </c>
      <c r="K24" s="7">
        <f>K23</f>
        <v>1</v>
      </c>
      <c r="L24" s="7">
        <v>1</v>
      </c>
      <c r="M24" s="7">
        <f>M23</f>
        <v>3</v>
      </c>
      <c r="N24" s="7">
        <v>2</v>
      </c>
      <c r="O24" s="7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7">
        <f>J23</f>
        <v>100</v>
      </c>
      <c r="K25" s="7">
        <f>K23</f>
        <v>1</v>
      </c>
      <c r="L25" s="7">
        <v>1</v>
      </c>
      <c r="M25" s="7">
        <f>M24</f>
        <v>3</v>
      </c>
      <c r="N25" s="7">
        <v>3</v>
      </c>
      <c r="O25" s="7">
        <v>50</v>
      </c>
    </row>
    <row r="26" spans="1:15" x14ac:dyDescent="0.2">
      <c r="J26" s="7"/>
      <c r="K26" s="7"/>
      <c r="L26" s="7"/>
      <c r="M26" s="7"/>
      <c r="N26" s="7"/>
      <c r="O26" s="7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7">
        <f>J25</f>
        <v>100</v>
      </c>
      <c r="K27" s="7">
        <f>K25</f>
        <v>1</v>
      </c>
      <c r="L27" s="7">
        <v>1</v>
      </c>
      <c r="M27" s="7">
        <v>4</v>
      </c>
      <c r="N27" s="7">
        <v>1</v>
      </c>
      <c r="O27" s="7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7">
        <f>J27</f>
        <v>100</v>
      </c>
      <c r="K28" s="7">
        <f>K27</f>
        <v>1</v>
      </c>
      <c r="L28" s="7">
        <v>1</v>
      </c>
      <c r="M28" s="7">
        <f>M27</f>
        <v>4</v>
      </c>
      <c r="N28" s="7">
        <v>2</v>
      </c>
      <c r="O28" s="7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7">
        <f>J27</f>
        <v>100</v>
      </c>
      <c r="K29" s="7">
        <f>K27</f>
        <v>1</v>
      </c>
      <c r="L29" s="7">
        <v>1</v>
      </c>
      <c r="M29" s="7">
        <f>M28</f>
        <v>4</v>
      </c>
      <c r="N29" s="7">
        <v>3</v>
      </c>
      <c r="O29" s="7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7">
        <f>J28</f>
        <v>100</v>
      </c>
      <c r="K30" s="7">
        <f>K28</f>
        <v>1</v>
      </c>
      <c r="L30" s="7">
        <v>1</v>
      </c>
      <c r="M30" s="7">
        <v>5</v>
      </c>
      <c r="N30" s="7">
        <v>1</v>
      </c>
      <c r="O30" s="7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7">
        <f>J30</f>
        <v>100</v>
      </c>
      <c r="K31" s="7">
        <f>K30</f>
        <v>1</v>
      </c>
      <c r="L31" s="7">
        <v>1</v>
      </c>
      <c r="M31" s="7">
        <f>M30</f>
        <v>5</v>
      </c>
      <c r="N31" s="7">
        <v>2</v>
      </c>
      <c r="O31" s="7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7">
        <f>J30</f>
        <v>100</v>
      </c>
      <c r="K32" s="7">
        <f>K30</f>
        <v>1</v>
      </c>
      <c r="L32" s="7">
        <v>1</v>
      </c>
      <c r="M32" s="7">
        <f>M31</f>
        <v>5</v>
      </c>
      <c r="N32" s="7">
        <v>3</v>
      </c>
      <c r="O32" s="7">
        <v>50</v>
      </c>
    </row>
    <row r="33" spans="1:31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7">
        <f>J31</f>
        <v>100</v>
      </c>
      <c r="K33" s="7">
        <f>K31</f>
        <v>1</v>
      </c>
      <c r="L33" s="7">
        <v>1</v>
      </c>
      <c r="M33" s="7">
        <v>6</v>
      </c>
      <c r="N33" s="7">
        <v>1</v>
      </c>
      <c r="O33" s="7">
        <v>50</v>
      </c>
    </row>
    <row r="34" spans="1:31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7">
        <f>J33</f>
        <v>100</v>
      </c>
      <c r="K34" s="7">
        <f>K33</f>
        <v>1</v>
      </c>
      <c r="L34" s="7">
        <v>1</v>
      </c>
      <c r="M34" s="7">
        <f>M33</f>
        <v>6</v>
      </c>
      <c r="N34" s="7">
        <v>2</v>
      </c>
      <c r="O34" s="7">
        <v>50</v>
      </c>
    </row>
    <row r="35" spans="1:31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7">
        <f>J33</f>
        <v>100</v>
      </c>
      <c r="K35" s="7">
        <f>K33</f>
        <v>1</v>
      </c>
      <c r="L35" s="7">
        <v>1</v>
      </c>
      <c r="M35" s="7">
        <f>M34</f>
        <v>6</v>
      </c>
      <c r="N35" s="7">
        <v>3</v>
      </c>
      <c r="O35" s="7">
        <v>50</v>
      </c>
    </row>
    <row r="36" spans="1:31" x14ac:dyDescent="0.2">
      <c r="J36" s="7"/>
      <c r="K36" s="7"/>
      <c r="L36" s="7"/>
      <c r="M36" s="7"/>
      <c r="N36" s="7"/>
      <c r="O36" s="7"/>
    </row>
    <row r="37" spans="1:31" x14ac:dyDescent="0.2">
      <c r="A37" s="6" t="s">
        <v>202</v>
      </c>
      <c r="B37" s="6" t="s">
        <v>221</v>
      </c>
      <c r="E37" s="6" t="s">
        <v>245</v>
      </c>
      <c r="F37" s="6" t="str">
        <f>F34</f>
        <v>-104 Telegram</v>
      </c>
      <c r="G37" s="6" t="s">
        <v>221</v>
      </c>
      <c r="H37" s="6" t="str">
        <f>H34</f>
        <v>CMC_104</v>
      </c>
      <c r="I37" s="6" t="str">
        <f>TestObjects[[#This Row],[Objectname]]</f>
        <v>reset</v>
      </c>
      <c r="J37" s="7">
        <f>J34</f>
        <v>100</v>
      </c>
      <c r="K37" s="7">
        <v>1</v>
      </c>
      <c r="L37" s="7">
        <v>99</v>
      </c>
      <c r="M37" s="7">
        <v>0</v>
      </c>
      <c r="N37" s="7">
        <v>0</v>
      </c>
      <c r="O37" s="7">
        <v>50</v>
      </c>
    </row>
    <row r="38" spans="1:31" x14ac:dyDescent="0.2">
      <c r="J38" s="7"/>
      <c r="K38" s="7"/>
      <c r="L38" s="7"/>
      <c r="M38" s="7"/>
      <c r="N38" s="7"/>
      <c r="O38" s="7"/>
    </row>
    <row r="39" spans="1:31" x14ac:dyDescent="0.2">
      <c r="A39" s="8" t="s">
        <v>249</v>
      </c>
      <c r="B39" s="8"/>
      <c r="C39" s="8"/>
      <c r="D39" s="8"/>
      <c r="E39" s="8"/>
      <c r="F39" s="8"/>
      <c r="G39" s="8"/>
      <c r="H39" s="8"/>
      <c r="I39" s="8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</row>
    <row r="40" spans="1:31" x14ac:dyDescent="0.2">
      <c r="A40" s="6" t="s">
        <v>202</v>
      </c>
      <c r="B40" s="6" t="s">
        <v>250</v>
      </c>
      <c r="E40" s="6" t="s">
        <v>251</v>
      </c>
      <c r="F40" s="6" t="str">
        <f>F37</f>
        <v>-104 Telegram</v>
      </c>
      <c r="G40" s="6" t="str">
        <f>TestObjects[[#This Row],[Objectname]]</f>
        <v>Power_Status</v>
      </c>
      <c r="H40" s="6" t="str">
        <f>H37</f>
        <v>CMC_104</v>
      </c>
      <c r="I40" s="6" t="str">
        <f>TestObjects[[#This Row],[Objectname]]</f>
        <v>Power_Status</v>
      </c>
      <c r="J40" s="7">
        <v>100</v>
      </c>
      <c r="K40" s="7">
        <v>1</v>
      </c>
      <c r="L40" s="7">
        <v>2</v>
      </c>
      <c r="M40" s="7">
        <v>0</v>
      </c>
      <c r="N40" s="7">
        <v>0</v>
      </c>
      <c r="O40" s="7">
        <v>1</v>
      </c>
    </row>
    <row r="41" spans="1:31" x14ac:dyDescent="0.2">
      <c r="J41" s="7"/>
      <c r="K41" s="7"/>
      <c r="L41" s="7"/>
      <c r="M41" s="7"/>
      <c r="N41" s="7"/>
      <c r="O41" s="7"/>
    </row>
    <row r="42" spans="1:31" x14ac:dyDescent="0.2">
      <c r="J42" s="7"/>
      <c r="K42" s="7"/>
      <c r="L42" s="7"/>
      <c r="M42" s="7"/>
      <c r="N42" s="7"/>
      <c r="O42" s="7"/>
    </row>
    <row r="43" spans="1:31" x14ac:dyDescent="0.2">
      <c r="J43" s="7"/>
      <c r="K43" s="7"/>
      <c r="L43" s="7"/>
      <c r="M43" s="7"/>
      <c r="N43" s="7"/>
      <c r="O43" s="7"/>
    </row>
    <row r="44" spans="1:31" x14ac:dyDescent="0.2">
      <c r="A44" s="8" t="s">
        <v>252</v>
      </c>
      <c r="J44" s="7"/>
      <c r="K44" s="7"/>
      <c r="L44" s="7"/>
      <c r="M44" s="7"/>
      <c r="N44" s="7"/>
      <c r="O44" s="7"/>
    </row>
    <row r="45" spans="1:31" x14ac:dyDescent="0.2">
      <c r="A45" s="6" t="s">
        <v>246</v>
      </c>
      <c r="E45" s="6" t="s">
        <v>247</v>
      </c>
      <c r="F45" s="6" t="str">
        <f>F37</f>
        <v>-104 Telegram</v>
      </c>
      <c r="H45" s="6" t="str">
        <f>H37</f>
        <v>CMC_104</v>
      </c>
      <c r="J45" s="7">
        <v>100</v>
      </c>
      <c r="K45" s="7">
        <v>2</v>
      </c>
      <c r="L45" s="7">
        <v>1</v>
      </c>
      <c r="M45" s="7">
        <v>0</v>
      </c>
      <c r="N45" s="7">
        <v>0</v>
      </c>
      <c r="O45" s="7">
        <v>58</v>
      </c>
    </row>
    <row r="46" spans="1:31" x14ac:dyDescent="0.2">
      <c r="J46" s="7"/>
      <c r="K46" s="7"/>
      <c r="L46" s="7"/>
      <c r="M46" s="7"/>
      <c r="N46" s="7"/>
      <c r="O46" s="7"/>
    </row>
    <row r="47" spans="1:31" x14ac:dyDescent="0.2">
      <c r="J47" s="7"/>
      <c r="K47" s="7"/>
      <c r="L47" s="7"/>
      <c r="M47" s="7"/>
      <c r="N47" s="7"/>
      <c r="O47" s="7"/>
    </row>
    <row r="48" spans="1:31" x14ac:dyDescent="0.2">
      <c r="J48" s="7"/>
      <c r="K48" s="7"/>
      <c r="L48" s="7"/>
      <c r="M48" s="7"/>
      <c r="N48" s="7"/>
      <c r="O48" s="7"/>
    </row>
    <row r="49" spans="1:15" x14ac:dyDescent="0.2">
      <c r="J49" s="7"/>
      <c r="K49" s="7"/>
      <c r="L49" s="7"/>
      <c r="M49" s="7"/>
      <c r="N49" s="7"/>
      <c r="O49" s="7"/>
    </row>
    <row r="50" spans="1:15" x14ac:dyDescent="0.2">
      <c r="J50" s="7"/>
      <c r="K50" s="7"/>
      <c r="L50" s="7"/>
      <c r="M50" s="7"/>
      <c r="N50" s="7"/>
      <c r="O50" s="7"/>
    </row>
    <row r="51" spans="1:15" x14ac:dyDescent="0.2">
      <c r="J51" s="7"/>
      <c r="K51" s="7"/>
      <c r="L51" s="7"/>
      <c r="M51" s="7"/>
      <c r="N51" s="7"/>
      <c r="O51" s="7"/>
    </row>
    <row r="52" spans="1:15" x14ac:dyDescent="0.2">
      <c r="J52" s="7"/>
      <c r="K52" s="7"/>
      <c r="L52" s="7"/>
      <c r="M52" s="7"/>
      <c r="N52" s="7"/>
      <c r="O52" s="7"/>
    </row>
    <row r="53" spans="1:15" x14ac:dyDescent="0.2">
      <c r="J53" s="7"/>
      <c r="K53" s="7"/>
      <c r="L53" s="7"/>
      <c r="M53" s="7"/>
      <c r="N53" s="7"/>
      <c r="O53" s="7"/>
    </row>
    <row r="54" spans="1:15" x14ac:dyDescent="0.2">
      <c r="J54" s="7"/>
      <c r="K54" s="7"/>
      <c r="L54" s="7"/>
      <c r="M54" s="7"/>
      <c r="N54" s="7"/>
      <c r="O54" s="7"/>
    </row>
    <row r="55" spans="1:15" x14ac:dyDescent="0.2">
      <c r="J55" s="7"/>
      <c r="K55" s="7"/>
      <c r="L55" s="7"/>
      <c r="M55" s="7"/>
      <c r="N55" s="7"/>
      <c r="O55" s="7"/>
    </row>
    <row r="56" spans="1:15" x14ac:dyDescent="0.2">
      <c r="J56" s="7"/>
      <c r="K56" s="7"/>
      <c r="L56" s="7"/>
      <c r="M56" s="7"/>
      <c r="N56" s="7"/>
      <c r="O56" s="7"/>
    </row>
    <row r="57" spans="1:15" x14ac:dyDescent="0.2">
      <c r="J57" s="7"/>
      <c r="K57" s="7"/>
      <c r="L57" s="7"/>
      <c r="M57" s="7"/>
      <c r="N57" s="7"/>
      <c r="O57" s="7"/>
    </row>
    <row r="58" spans="1:15" x14ac:dyDescent="0.2">
      <c r="J58" s="7"/>
      <c r="K58" s="7"/>
      <c r="L58" s="7"/>
      <c r="M58" s="7"/>
      <c r="N58" s="7"/>
      <c r="O58" s="7"/>
    </row>
    <row r="59" spans="1:15" x14ac:dyDescent="0.2">
      <c r="J59" s="7"/>
      <c r="K59" s="7"/>
      <c r="L59" s="7"/>
      <c r="M59" s="7"/>
      <c r="N59" s="7"/>
      <c r="O59" s="7"/>
    </row>
    <row r="62" spans="1:15" x14ac:dyDescent="0.2">
      <c r="A62" s="6" t="s">
        <v>202</v>
      </c>
      <c r="B62" s="6" t="s">
        <v>203</v>
      </c>
      <c r="E62" s="6" t="s">
        <v>204</v>
      </c>
      <c r="F62" s="6" t="s">
        <v>136</v>
      </c>
      <c r="G62" s="6" t="s">
        <v>204</v>
      </c>
      <c r="H62" s="6" t="s">
        <v>198</v>
      </c>
      <c r="I62" s="6" t="s">
        <v>204</v>
      </c>
      <c r="J62" s="6">
        <v>100</v>
      </c>
      <c r="K62" s="6">
        <v>1</v>
      </c>
      <c r="L62" s="6">
        <v>2</v>
      </c>
      <c r="M62" s="6">
        <v>0</v>
      </c>
      <c r="N62" s="6">
        <v>0</v>
      </c>
      <c r="O62" s="6" t="s">
        <v>209</v>
      </c>
    </row>
    <row r="63" spans="1:15" x14ac:dyDescent="0.2">
      <c r="A63" s="6" t="s">
        <v>202</v>
      </c>
      <c r="B63" s="6" t="s">
        <v>203</v>
      </c>
      <c r="E63" s="6" t="s">
        <v>210</v>
      </c>
      <c r="F63" s="6" t="s">
        <v>136</v>
      </c>
      <c r="G63" s="6" t="s">
        <v>210</v>
      </c>
      <c r="H63" s="6" t="s">
        <v>198</v>
      </c>
      <c r="I63" s="6" t="s">
        <v>210</v>
      </c>
      <c r="J63" s="6">
        <v>100</v>
      </c>
      <c r="K63" s="6">
        <v>1</v>
      </c>
      <c r="L63" s="6">
        <v>3</v>
      </c>
      <c r="M63" s="6">
        <v>0</v>
      </c>
      <c r="N63" s="6">
        <v>0</v>
      </c>
      <c r="O63" s="6">
        <v>47</v>
      </c>
    </row>
    <row r="64" spans="1:15" x14ac:dyDescent="0.2">
      <c r="A64" s="6" t="s">
        <v>202</v>
      </c>
      <c r="B64" s="6" t="s">
        <v>203</v>
      </c>
      <c r="E64" s="6" t="s">
        <v>211</v>
      </c>
      <c r="F64" s="6" t="s">
        <v>136</v>
      </c>
      <c r="G64" s="6" t="s">
        <v>211</v>
      </c>
      <c r="H64" s="6" t="s">
        <v>198</v>
      </c>
      <c r="I64" s="6" t="s">
        <v>211</v>
      </c>
      <c r="J64" s="6">
        <v>100</v>
      </c>
      <c r="K64" s="6">
        <v>1</v>
      </c>
      <c r="L64" s="6">
        <v>4</v>
      </c>
      <c r="M64" s="6">
        <v>0</v>
      </c>
      <c r="N64" s="6">
        <v>0</v>
      </c>
      <c r="O64" s="6">
        <v>48</v>
      </c>
    </row>
    <row r="65" spans="1:15" x14ac:dyDescent="0.2">
      <c r="A65" s="6" t="s">
        <v>202</v>
      </c>
      <c r="B65" s="6" t="s">
        <v>203</v>
      </c>
      <c r="E65" s="6" t="s">
        <v>212</v>
      </c>
      <c r="F65" s="6" t="s">
        <v>136</v>
      </c>
      <c r="G65" s="6" t="s">
        <v>212</v>
      </c>
      <c r="H65" s="6" t="s">
        <v>198</v>
      </c>
      <c r="I65" s="6" t="s">
        <v>212</v>
      </c>
      <c r="J65" s="6">
        <v>100</v>
      </c>
      <c r="K65" s="6">
        <v>1</v>
      </c>
      <c r="L65" s="6">
        <v>5</v>
      </c>
      <c r="M65" s="6">
        <v>0</v>
      </c>
      <c r="N65" s="6">
        <v>0</v>
      </c>
      <c r="O65" s="6">
        <v>49</v>
      </c>
    </row>
    <row r="66" spans="1:15" x14ac:dyDescent="0.2">
      <c r="A66" s="6" t="s">
        <v>202</v>
      </c>
      <c r="B66" s="6" t="s">
        <v>203</v>
      </c>
      <c r="E66" s="6" t="s">
        <v>213</v>
      </c>
      <c r="F66" s="6" t="s">
        <v>136</v>
      </c>
      <c r="G66" s="6" t="s">
        <v>213</v>
      </c>
      <c r="H66" s="6" t="s">
        <v>198</v>
      </c>
      <c r="I66" s="6" t="s">
        <v>213</v>
      </c>
      <c r="J66" s="6">
        <v>100</v>
      </c>
      <c r="K66" s="6">
        <v>1</v>
      </c>
      <c r="L66" s="6">
        <v>6</v>
      </c>
      <c r="M66" s="6">
        <v>0</v>
      </c>
      <c r="N66" s="6">
        <v>0</v>
      </c>
      <c r="O66" s="6">
        <v>50</v>
      </c>
    </row>
    <row r="67" spans="1:15" x14ac:dyDescent="0.2">
      <c r="A67" s="6" t="s">
        <v>202</v>
      </c>
      <c r="B67" s="6" t="s">
        <v>203</v>
      </c>
      <c r="E67" s="6" t="s">
        <v>214</v>
      </c>
      <c r="F67" s="6" t="s">
        <v>136</v>
      </c>
      <c r="G67" s="6" t="s">
        <v>214</v>
      </c>
      <c r="H67" s="6" t="s">
        <v>198</v>
      </c>
      <c r="I67" s="6" t="s">
        <v>214</v>
      </c>
      <c r="J67" s="6">
        <v>100</v>
      </c>
      <c r="K67" s="6">
        <v>1</v>
      </c>
      <c r="L67" s="6">
        <v>7</v>
      </c>
      <c r="M67" s="6">
        <v>0</v>
      </c>
      <c r="N67" s="6">
        <v>0</v>
      </c>
      <c r="O67" s="6">
        <v>51</v>
      </c>
    </row>
    <row r="69" spans="1:15" x14ac:dyDescent="0.2">
      <c r="A69" s="6" t="s">
        <v>202</v>
      </c>
      <c r="B69" s="6" t="s">
        <v>203</v>
      </c>
      <c r="E69" s="6" t="s">
        <v>215</v>
      </c>
      <c r="F69" s="6" t="s">
        <v>136</v>
      </c>
      <c r="G69" s="6" t="s">
        <v>215</v>
      </c>
      <c r="H69" s="6" t="s">
        <v>198</v>
      </c>
      <c r="I69" s="6" t="s">
        <v>215</v>
      </c>
      <c r="J69" s="6" t="s">
        <v>205</v>
      </c>
      <c r="K69" s="6" t="s">
        <v>206</v>
      </c>
      <c r="L69" s="6" t="s">
        <v>207</v>
      </c>
      <c r="M69" s="6" t="s">
        <v>208</v>
      </c>
      <c r="N69" s="6">
        <v>59</v>
      </c>
      <c r="O69" s="6">
        <v>58</v>
      </c>
    </row>
    <row r="72" spans="1:15" x14ac:dyDescent="0.2">
      <c r="A72" s="6" t="s">
        <v>202</v>
      </c>
      <c r="B72" s="6" t="s">
        <v>203</v>
      </c>
      <c r="E72" s="6" t="s">
        <v>216</v>
      </c>
      <c r="F72" s="6" t="s">
        <v>136</v>
      </c>
      <c r="G72" s="6" t="s">
        <v>216</v>
      </c>
      <c r="H72" s="6" t="s">
        <v>198</v>
      </c>
      <c r="I72" s="6" t="s">
        <v>216</v>
      </c>
      <c r="J72" s="6">
        <v>10</v>
      </c>
      <c r="K72" s="6">
        <v>11</v>
      </c>
      <c r="L72" s="6">
        <v>50</v>
      </c>
      <c r="M72" s="6">
        <v>51</v>
      </c>
      <c r="N72" s="6">
        <v>60</v>
      </c>
      <c r="O72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Pfanne</cp:lastModifiedBy>
  <dcterms:created xsi:type="dcterms:W3CDTF">2016-11-21T12:16:59Z</dcterms:created>
  <dcterms:modified xsi:type="dcterms:W3CDTF">2022-01-23T16:42:18Z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