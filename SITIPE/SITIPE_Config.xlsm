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Pfanne-NET\HomeControl\Code\Python\104-CMC-Mapper\CMC-104_Mapper\SITIPE\"/>
    </mc:Choice>
  </mc:AlternateContent>
  <bookViews>
    <workbookView xWindow="0" yWindow="0" windowWidth="25815" windowHeight="9780" tabRatio="530" activeTab="2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8"/>
  <definedNames>
    <definedName name="ProjectName">'Project Information'!$B$1</definedName>
    <definedName name="TesterName">'Project Information'!$B$2</definedName>
  </definedNames>
  <calcPr calcId="152511"/>
</workbook>
</file>

<file path=xl/calcChain.xml><?xml version="1.0" encoding="utf-8"?>
<calcChain xmlns="http://schemas.openxmlformats.org/spreadsheetml/2006/main">
  <c r="J37" i="7" l="1"/>
  <c r="I37" i="7"/>
  <c r="H37" i="7"/>
  <c r="F37" i="7"/>
  <c r="M29" i="7" l="1"/>
  <c r="M28" i="7"/>
  <c r="I35" i="7"/>
  <c r="M34" i="7"/>
  <c r="M35" i="7" s="1"/>
  <c r="I34" i="7"/>
  <c r="C34" i="7"/>
  <c r="C35" i="7" s="1"/>
  <c r="I33" i="7"/>
  <c r="M32" i="7"/>
  <c r="I32" i="7"/>
  <c r="M31" i="7"/>
  <c r="I31" i="7"/>
  <c r="C31" i="7"/>
  <c r="C32" i="7" s="1"/>
  <c r="I30" i="7"/>
  <c r="I29" i="7"/>
  <c r="C29" i="7"/>
  <c r="I28" i="7"/>
  <c r="H28" i="7"/>
  <c r="H30" i="7" s="1"/>
  <c r="C28" i="7"/>
  <c r="K27" i="7"/>
  <c r="K28" i="7" s="1"/>
  <c r="K30" i="7" s="1"/>
  <c r="J27" i="7"/>
  <c r="J28" i="7" s="1"/>
  <c r="J30" i="7" s="1"/>
  <c r="I27" i="7"/>
  <c r="H27" i="7"/>
  <c r="H29" i="7" s="1"/>
  <c r="F27" i="7"/>
  <c r="F28" i="7" s="1"/>
  <c r="F30" i="7" s="1"/>
  <c r="I25" i="7"/>
  <c r="H25" i="7"/>
  <c r="M24" i="7"/>
  <c r="M25" i="7" s="1"/>
  <c r="I24" i="7"/>
  <c r="H24" i="7"/>
  <c r="C24" i="7"/>
  <c r="C25" i="7" s="1"/>
  <c r="K23" i="7"/>
  <c r="K24" i="7" s="1"/>
  <c r="J23" i="7"/>
  <c r="J24" i="7" s="1"/>
  <c r="I23" i="7"/>
  <c r="H23" i="7"/>
  <c r="F23" i="7"/>
  <c r="F24" i="7" s="1"/>
  <c r="M22" i="7"/>
  <c r="M21" i="7"/>
  <c r="C22" i="7"/>
  <c r="C21" i="7"/>
  <c r="C19" i="7"/>
  <c r="C18" i="7"/>
  <c r="I22" i="7"/>
  <c r="H22" i="7"/>
  <c r="I21" i="7"/>
  <c r="K20" i="7"/>
  <c r="K22" i="7" s="1"/>
  <c r="J20" i="7"/>
  <c r="J22" i="7" s="1"/>
  <c r="I20" i="7"/>
  <c r="H20" i="7"/>
  <c r="H21" i="7" s="1"/>
  <c r="F20" i="7"/>
  <c r="F22" i="7" s="1"/>
  <c r="K18" i="7"/>
  <c r="J18" i="7"/>
  <c r="H18" i="7"/>
  <c r="F18" i="7"/>
  <c r="K19" i="7"/>
  <c r="J19" i="7"/>
  <c r="I19" i="7"/>
  <c r="H19" i="7"/>
  <c r="F19" i="7"/>
  <c r="I18" i="7"/>
  <c r="K17" i="7"/>
  <c r="J17" i="7"/>
  <c r="I17" i="7"/>
  <c r="H17" i="7"/>
  <c r="F17" i="7"/>
  <c r="J31" i="7" l="1"/>
  <c r="J33" i="7" s="1"/>
  <c r="J32" i="7"/>
  <c r="F32" i="7"/>
  <c r="F31" i="7"/>
  <c r="F33" i="7" s="1"/>
  <c r="K32" i="7"/>
  <c r="K31" i="7"/>
  <c r="K33" i="7" s="1"/>
  <c r="H31" i="7"/>
  <c r="H33" i="7" s="1"/>
  <c r="H32" i="7"/>
  <c r="J29" i="7"/>
  <c r="F29" i="7"/>
  <c r="K29" i="7"/>
  <c r="J25" i="7"/>
  <c r="F25" i="7"/>
  <c r="K25" i="7"/>
  <c r="J21" i="7"/>
  <c r="F21" i="7"/>
  <c r="K21" i="7"/>
  <c r="G15" i="7"/>
  <c r="I15" i="7" s="1"/>
  <c r="F34" i="7" l="1"/>
  <c r="F35" i="7"/>
  <c r="H35" i="7"/>
  <c r="H34" i="7"/>
  <c r="K34" i="7"/>
  <c r="K35" i="7"/>
  <c r="J34" i="7"/>
  <c r="J35" i="7"/>
</calcChain>
</file>

<file path=xl/sharedStrings.xml><?xml version="1.0" encoding="utf-8"?>
<sst xmlns="http://schemas.openxmlformats.org/spreadsheetml/2006/main" count="437" uniqueCount="246">
  <si>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</si>
  <si>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</si>
  <si>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</si>
  <si>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</si>
  <si>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</si>
  <si>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</si>
  <si>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</si>
  <si>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</si>
  <si>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</si>
  <si>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</si>
  <si>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</si>
  <si>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</si>
  <si>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</si>
  <si>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</si>
  <si>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</si>
  <si>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</si>
  <si>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</si>
  <si>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</si>
  <si>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</si>
  <si>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</si>
  <si>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</si>
  <si>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</si>
  <si>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</si>
  <si>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</si>
  <si>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</si>
  <si>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</si>
  <si>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</si>
  <si>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</si>
  <si>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</si>
  <si>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</si>
  <si>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</si>
  <si>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</si>
  <si>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</si>
  <si>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</si>
  <si>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</si>
  <si>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</si>
  <si>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</si>
  <si>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</si>
  <si>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</si>
  <si>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</si>
  <si>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</si>
  <si>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</si>
  <si>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</si>
  <si>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</si>
  <si>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</si>
  <si>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</si>
  <si>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</si>
  <si>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</si>
  <si>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</si>
  <si>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</si>
  <si>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</si>
  <si>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</si>
  <si>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</si>
  <si>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</si>
  <si>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</si>
  <si>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</si>
  <si>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</si>
  <si>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</si>
  <si>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</si>
  <si>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</si>
  <si>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</si>
  <si>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</si>
  <si>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</si>
  <si>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</si>
  <si>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</si>
  <si>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</si>
  <si>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</si>
  <si>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</si>
  <si>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</si>
  <si>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</si>
  <si>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</si>
  <si>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</si>
  <si>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</si>
  <si>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</si>
  <si>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</si>
  <si>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</si>
  <si>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</si>
  <si>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</si>
  <si>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</si>
  <si>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</si>
  <si>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</si>
  <si>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</si>
  <si>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</si>
  <si>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</si>
  <si>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</si>
  <si>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</si>
  <si>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</si>
  <si>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</si>
  <si>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</si>
  <si>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</si>
  <si>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</si>
  <si>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</si>
  <si>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</si>
  <si>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</si>
  <si>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</si>
  <si>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</si>
  <si>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</si>
  <si>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</si>
  <si>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</si>
  <si>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</si>
  <si>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</si>
  <si>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</si>
  <si>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</si>
  <si>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</si>
  <si>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</si>
  <si>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</si>
  <si>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</si>
  <si>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</si>
  <si>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</si>
  <si>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</si>
  <si>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</si>
  <si>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</si>
  <si>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</si>
  <si>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</si>
  <si>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</si>
  <si>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</si>
  <si>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</si>
  <si>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</si>
  <si>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</si>
  <si>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</si>
  <si>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</si>
  <si>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</si>
  <si>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</si>
  <si>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</si>
  <si>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</si>
  <si>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</si>
  <si>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</si>
  <si>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</si>
  <si>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</si>
  <si>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</si>
  <si>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</si>
  <si>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</si>
  <si>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</si>
  <si>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</si>
  <si>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</si>
  <si>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</si>
  <si>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</si>
  <si>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</si>
  <si>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</si>
  <si>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</si>
  <si>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</si>
  <si>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</si>
  <si>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</si>
  <si>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</si>
  <si>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</si>
  <si>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</si>
  <si>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</si>
  <si>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</si>
  <si>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</si>
  <si>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</si>
  <si>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</si>
  <si>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</si>
  <si>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</si>
  <si>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</si>
  <si>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</si>
  <si>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</si>
  <si>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</si>
  <si>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</si>
  <si>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</si>
  <si>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</si>
  <si>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</si>
  <si>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</si>
  <si>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</si>
  <si>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</si>
  <si>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</si>
  <si>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</si>
  <si>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</si>
  <si>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</si>
  <si>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</si>
  <si>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</si>
  <si>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</si>
  <si>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</si>
  <si>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</si>
  <si>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</si>
  <si>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</si>
  <si>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</si>
  <si>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</si>
  <si>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</si>
  <si>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</si>
  <si>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</si>
  <si>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</si>
  <si>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</si>
  <si>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</si>
  <si>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</si>
  <si>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</si>
  <si>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</si>
  <si>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</si>
  <si>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</si>
  <si>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</si>
  <si>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</si>
  <si>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</si>
  <si>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</si>
  <si>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</si>
  <si>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</si>
  <si>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</si>
  <si>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</si>
  <si>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</si>
  <si>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</si>
  <si>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CMC_104</t>
  </si>
  <si>
    <t>192.168.1.210</t>
  </si>
  <si>
    <t>127.0.0.1</t>
  </si>
  <si>
    <t>2404</t>
  </si>
  <si>
    <t>CMC</t>
  </si>
  <si>
    <t>Control</t>
  </si>
  <si>
    <t>double CMD</t>
  </si>
  <si>
    <t>10</t>
  </si>
  <si>
    <t>11</t>
  </si>
  <si>
    <t>50</t>
  </si>
  <si>
    <t>51</t>
  </si>
  <si>
    <t>46</t>
  </si>
  <si>
    <t>Tap CMD</t>
  </si>
  <si>
    <t>norm CMD</t>
  </si>
  <si>
    <t>scaled CMD</t>
  </si>
  <si>
    <t>short CMD</t>
  </si>
  <si>
    <t>BitStr CMD</t>
  </si>
  <si>
    <t>single CMDT</t>
  </si>
  <si>
    <t>single RM</t>
  </si>
  <si>
    <t>Power</t>
  </si>
  <si>
    <t>UL1</t>
  </si>
  <si>
    <t>Amplitude</t>
  </si>
  <si>
    <t>UL1_a</t>
  </si>
  <si>
    <t>Output</t>
  </si>
  <si>
    <t>Phase</t>
  </si>
  <si>
    <t>UL1_p</t>
  </si>
  <si>
    <t>UL2</t>
  </si>
  <si>
    <t>UL2_a</t>
  </si>
  <si>
    <t>UL2_p</t>
  </si>
  <si>
    <t>UL3</t>
  </si>
  <si>
    <t>UL3_a</t>
  </si>
  <si>
    <t>UL3_p</t>
  </si>
  <si>
    <t>IL1</t>
  </si>
  <si>
    <t>IL2</t>
  </si>
  <si>
    <t>IL3</t>
  </si>
  <si>
    <t>IL1_a</t>
  </si>
  <si>
    <t>IL1_p</t>
  </si>
  <si>
    <t>IL2_a</t>
  </si>
  <si>
    <t>IL2_p</t>
  </si>
  <si>
    <t>IL3_a</t>
  </si>
  <si>
    <t>IL3_p</t>
  </si>
  <si>
    <t>UL1_f</t>
  </si>
  <si>
    <t>UL2_f</t>
  </si>
  <si>
    <t>UL3_f</t>
  </si>
  <si>
    <t>IL1_f</t>
  </si>
  <si>
    <t>IL2_f</t>
  </si>
  <si>
    <t>IL3_f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</si>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</sst>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9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2" borderId="1" xfId="1" applyNumberFormat="1" applyFont="1" applyBorder="1"/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left"/>
      <protection locked="0"/>
    </xf>
  </cellXfs>
  <cellStyles count="3">
    <cellStyle name="60 % - Akzent1" xfId="1" builtinId="32"/>
    <cellStyle name="Normal 2" xfId="2"/>
    <cellStyle name="Standard" xfId="0" builtinId="0"/>
  </cellStyles>
  <dxfs count="8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estInterfaces" displayName="TestInterfaces" ref="A1:Q17" totalsRowShown="0">
  <autoFilter ref="A1:Q17"/>
  <tableColumns count="17">
    <tableColumn id="2" name="Interface Name" dataDxfId="88" totalsRowDxfId="87"/>
    <tableColumn id="3" name="Interface Type" dataDxfId="86" totalsRowDxfId="85"/>
    <tableColumn id="4" name="Column1" dataDxfId="84" totalsRowDxfId="83"/>
    <tableColumn id="5" name="Column2" dataDxfId="82" totalsRowDxfId="81"/>
    <tableColumn id="6" name="Column3" dataDxfId="80" totalsRowDxfId="79"/>
    <tableColumn id="7" name="Column4" dataDxfId="78" totalsRowDxfId="77"/>
    <tableColumn id="1" name="Column5" dataDxfId="76" totalsRowDxfId="75"/>
    <tableColumn id="8" name="Column6" dataDxfId="74" totalsRowDxfId="73"/>
    <tableColumn id="9" name="Column7" dataDxfId="72" totalsRowDxfId="71"/>
    <tableColumn id="10" name="Column8" dataDxfId="70" totalsRowDxfId="69"/>
    <tableColumn id="11" name="Column9" dataDxfId="68" totalsRowDxfId="67"/>
    <tableColumn id="12" name="Column10" dataDxfId="66" totalsRowDxfId="65"/>
    <tableColumn id="13" name="Column11" dataDxfId="64" totalsRowDxfId="63"/>
    <tableColumn id="14" name="Column12" dataDxfId="62" totalsRowDxfId="61"/>
    <tableColumn id="15" name="Column13" dataDxfId="60" totalsRowDxfId="59"/>
    <tableColumn id="16" name="Column14" dataDxfId="58" totalsRowDxfId="57"/>
    <tableColumn id="17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estObjects" displayName="TestObjects" ref="A1:AE40" totalsRowShown="0" headerRowDxfId="54" dataDxfId="53">
  <autoFilter ref="A1:AE40"/>
  <tableColumns count="31">
    <tableColumn id="1" name="Location 1" dataDxfId="52"/>
    <tableColumn id="2" name="Location 2" dataDxfId="51"/>
    <tableColumn id="3" name="Location 3" dataDxfId="50"/>
    <tableColumn id="4" name="Location 4" dataDxfId="49"/>
    <tableColumn id="5" name="Objectname" dataDxfId="48"/>
    <tableColumn id="6" name="Info-Type" dataDxfId="47"/>
    <tableColumn id="7" name="Column1" dataDxfId="46"/>
    <tableColumn id="8" name="Column2" dataDxfId="45"/>
    <tableColumn id="9" name="Column3" dataDxfId="44"/>
    <tableColumn id="10" name="Column4" dataDxfId="43"/>
    <tableColumn id="11" name="Column5" dataDxfId="42"/>
    <tableColumn id="12" name="Column6" dataDxfId="41"/>
    <tableColumn id="13" name="Column7" dataDxfId="40"/>
    <tableColumn id="14" name="Column8" dataDxfId="39"/>
    <tableColumn id="15" name="Column9" dataDxfId="38"/>
    <tableColumn id="16" name="Column10" dataDxfId="37"/>
    <tableColumn id="17" name="Column11" dataDxfId="36"/>
    <tableColumn id="18" name="Column12" dataDxfId="35"/>
    <tableColumn id="19" name="Column13" dataDxfId="34"/>
    <tableColumn id="20" name="Column14" dataDxfId="33"/>
    <tableColumn id="21" name="Column15" dataDxfId="32"/>
    <tableColumn id="22" name="Column16" dataDxfId="31"/>
    <tableColumn id="23" name="Column17" dataDxfId="30"/>
    <tableColumn id="24" name="Column18" dataDxfId="29"/>
    <tableColumn id="25" name="Column19" dataDxfId="28"/>
    <tableColumn id="26" name="Column20" dataDxfId="27"/>
    <tableColumn id="27" name="Column21" dataDxfId="26"/>
    <tableColumn id="28" name="Column22" dataDxfId="25"/>
    <tableColumn id="29" name="Column23" dataDxfId="24"/>
    <tableColumn id="30" name="Column24" dataDxfId="23"/>
    <tableColumn id="31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estCases" displayName="TestCases" ref="A1:T20" totalsRowShown="0" headerRowDxfId="21" dataDxfId="20">
  <tableColumns count="20">
    <tableColumn id="1" name="Test Case Name" dataDxfId="19"/>
    <tableColumn id="11" name="Test Case Description" dataDxfId="18"/>
    <tableColumn id="13" name="Step Number" dataDxfId="17"/>
    <tableColumn id="2" name="Step Name" dataDxfId="16"/>
    <tableColumn id="3" name="Element type" dataDxfId="15"/>
    <tableColumn id="16386" name="Element type detail" dataDxfId="14"/>
    <tableColumn id="18" name="Name" dataDxfId="13"/>
    <tableColumn id="17" name="Tag" dataDxfId="12"/>
    <tableColumn id="4" name="Column 1" dataDxfId="11"/>
    <tableColumn id="5" name="Column 2" dataDxfId="10"/>
    <tableColumn id="6" name="Column 3" dataDxfId="9"/>
    <tableColumn id="7" name="Column 4" dataDxfId="8"/>
    <tableColumn id="8" name="Column 5" dataDxfId="7"/>
    <tableColumn id="9" name="Column 6" dataDxfId="6"/>
    <tableColumn id="10" name="Column 7" dataDxfId="5"/>
    <tableColumn id="14" name="Column 8" dataDxfId="4"/>
    <tableColumn id="15" name="Column 9" dataDxfId="3"/>
    <tableColumn id="16" name="Column 10" dataDxfId="2"/>
    <tableColumn id="19" name="Column 11" dataDxfId="1"/>
    <tableColumn id="20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C18" sqref="C18"/>
    </sheetView>
  </sheetViews>
  <sheetFormatPr baseColWidth="10" defaultColWidth="9.140625" defaultRowHeight="12.75" x14ac:dyDescent="0.2"/>
  <cols>
    <col min="1" max="1" width="18.28515625" style="1" customWidth="1"/>
    <col min="2" max="2" width="63" style="1" customWidth="1"/>
  </cols>
  <sheetData>
    <row r="1" spans="1:2" x14ac:dyDescent="0.2">
      <c r="A1" s="1" t="s">
        <v>1</v>
      </c>
      <c r="B1" s="5"/>
    </row>
    <row r="2" spans="1:2" x14ac:dyDescent="0.2">
      <c r="A2" s="1" t="s">
        <v>2</v>
      </c>
      <c r="B2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7"/>
  <sheetViews>
    <sheetView zoomScale="90" workbookViewId="0">
      <selection activeCell="D22" sqref="D22"/>
    </sheetView>
  </sheetViews>
  <sheetFormatPr baseColWidth="10" defaultColWidth="9.140625" defaultRowHeight="12.75" x14ac:dyDescent="0.2"/>
  <cols>
    <col min="1" max="1" width="16.28515625" bestFit="1" customWidth="1"/>
    <col min="2" max="2" width="20.28515625" style="4" bestFit="1" customWidth="1"/>
    <col min="3" max="3" width="17.7109375" style="2" bestFit="1" customWidth="1"/>
    <col min="4" max="4" width="16.140625" style="1" bestFit="1" customWidth="1"/>
    <col min="5" max="5" width="26.7109375" style="1" bestFit="1" customWidth="1"/>
    <col min="6" max="6" width="37.5703125" style="1" bestFit="1" customWidth="1"/>
    <col min="7" max="7" width="25.7109375" bestFit="1" customWidth="1"/>
    <col min="8" max="8" width="33.140625" bestFit="1" customWidth="1"/>
  </cols>
  <sheetData>
    <row r="1" spans="1:17" ht="13.9" customHeight="1" x14ac:dyDescent="0.2">
      <c r="A1" s="1" t="s">
        <v>97</v>
      </c>
      <c r="B1" s="3" t="s">
        <v>98</v>
      </c>
      <c r="C1" s="2" t="s">
        <v>3</v>
      </c>
      <c r="D1" s="1" t="s">
        <v>4</v>
      </c>
      <c r="E1" s="1" t="s">
        <v>5</v>
      </c>
      <c r="F1" s="1" t="s">
        <v>6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39</v>
      </c>
      <c r="M1" t="s">
        <v>40</v>
      </c>
      <c r="N1" t="s">
        <v>38</v>
      </c>
      <c r="O1" t="s">
        <v>41</v>
      </c>
      <c r="P1" t="s">
        <v>110</v>
      </c>
      <c r="Q1" t="s">
        <v>111</v>
      </c>
    </row>
    <row r="2" spans="1:17" ht="13.9" customHeight="1" x14ac:dyDescent="0.2">
      <c r="A2" s="1"/>
      <c r="B2" s="4" t="s">
        <v>133</v>
      </c>
      <c r="C2" s="2" t="s">
        <v>8</v>
      </c>
      <c r="D2" s="1" t="s">
        <v>9</v>
      </c>
      <c r="E2" s="1" t="s">
        <v>140</v>
      </c>
      <c r="F2" s="1" t="s">
        <v>141</v>
      </c>
      <c r="G2" s="1" t="s">
        <v>139</v>
      </c>
      <c r="H2" s="1" t="s">
        <v>162</v>
      </c>
      <c r="I2" s="1"/>
      <c r="J2" s="1"/>
      <c r="K2" s="1"/>
      <c r="L2" s="1"/>
      <c r="M2" s="1"/>
      <c r="N2" s="1"/>
      <c r="O2" s="1"/>
      <c r="P2" s="1"/>
      <c r="Q2" s="1"/>
    </row>
    <row r="3" spans="1:17" ht="13.9" customHeight="1" x14ac:dyDescent="0.2">
      <c r="A3" s="1"/>
      <c r="B3" s="4" t="s">
        <v>134</v>
      </c>
      <c r="C3" s="2" t="s">
        <v>7</v>
      </c>
      <c r="E3" s="1" t="s">
        <v>145</v>
      </c>
      <c r="F3" s="1" t="s">
        <v>73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3.9" customHeight="1" x14ac:dyDescent="0.2">
      <c r="A4" s="1"/>
      <c r="B4" s="4" t="s">
        <v>10</v>
      </c>
      <c r="C4" s="2" t="s">
        <v>11</v>
      </c>
      <c r="D4" s="1" t="s">
        <v>12</v>
      </c>
      <c r="E4" s="1" t="s">
        <v>197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25.5" x14ac:dyDescent="0.2">
      <c r="A5" s="1"/>
      <c r="B5" s="4" t="s">
        <v>142</v>
      </c>
      <c r="C5" s="2" t="s">
        <v>143</v>
      </c>
      <c r="D5" s="1" t="s">
        <v>144</v>
      </c>
      <c r="E5" s="1" t="s">
        <v>145</v>
      </c>
      <c r="F5" s="1" t="s">
        <v>73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25.5" x14ac:dyDescent="0.2">
      <c r="A6" s="1"/>
      <c r="B6" s="4" t="s">
        <v>146</v>
      </c>
      <c r="C6" s="2" t="s">
        <v>143</v>
      </c>
      <c r="D6" s="1" t="s">
        <v>144</v>
      </c>
      <c r="E6" s="1" t="s">
        <v>8</v>
      </c>
      <c r="F6" s="1" t="s">
        <v>9</v>
      </c>
      <c r="G6" s="1" t="s">
        <v>147</v>
      </c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">
      <c r="A7" s="1"/>
      <c r="B7" s="4" t="s">
        <v>188</v>
      </c>
      <c r="C7" s="2" t="s">
        <v>145</v>
      </c>
      <c r="D7" s="1" t="s">
        <v>73</v>
      </c>
      <c r="E7" s="1" t="s">
        <v>195</v>
      </c>
      <c r="F7" s="1" t="s">
        <v>189</v>
      </c>
      <c r="G7" s="1" t="s">
        <v>190</v>
      </c>
      <c r="H7" s="1" t="s">
        <v>191</v>
      </c>
      <c r="I7" s="1" t="s">
        <v>192</v>
      </c>
      <c r="J7" s="1"/>
      <c r="K7" s="1"/>
      <c r="L7" s="1"/>
      <c r="M7" s="1"/>
      <c r="N7" s="1"/>
      <c r="O7" s="1"/>
      <c r="P7" s="1"/>
      <c r="Q7" s="1"/>
    </row>
    <row r="8" spans="1:17" x14ac:dyDescent="0.2">
      <c r="A8" s="1"/>
      <c r="B8" s="4" t="s">
        <v>160</v>
      </c>
      <c r="C8" s="2" t="s">
        <v>12</v>
      </c>
      <c r="D8" s="1" t="s">
        <v>155</v>
      </c>
      <c r="E8" s="1" t="s">
        <v>157</v>
      </c>
      <c r="F8" s="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">
      <c r="A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">
      <c r="A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">
      <c r="A11" s="1" t="s">
        <v>198</v>
      </c>
      <c r="B11" s="4" t="s">
        <v>134</v>
      </c>
      <c r="C11" s="2" t="s">
        <v>199</v>
      </c>
      <c r="E11" s="1" t="s">
        <v>200</v>
      </c>
      <c r="F11" s="1" t="s">
        <v>201</v>
      </c>
      <c r="G11" s="1"/>
      <c r="H11" s="1"/>
      <c r="I11" s="1"/>
      <c r="J11" s="1"/>
      <c r="K11" s="1"/>
      <c r="L11" s="1"/>
    </row>
    <row r="12" spans="1:17" x14ac:dyDescent="0.2">
      <c r="A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">
      <c r="A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">
      <c r="A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">
      <c r="A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">
      <c r="A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">
      <c r="A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54"/>
  <sheetViews>
    <sheetView tabSelected="1" zoomScaleNormal="100" workbookViewId="0">
      <selection activeCell="P33" sqref="P33"/>
    </sheetView>
  </sheetViews>
  <sheetFormatPr baseColWidth="10" defaultColWidth="9.140625" defaultRowHeight="12.75" x14ac:dyDescent="0.2"/>
  <cols>
    <col min="1" max="1" width="17.7109375" style="6" customWidth="1"/>
    <col min="2" max="2" width="12.28515625" style="6" bestFit="1" customWidth="1"/>
    <col min="3" max="3" width="6" style="6" customWidth="1"/>
    <col min="4" max="4" width="9.85546875" style="6" customWidth="1"/>
    <col min="5" max="5" width="27.7109375" style="6" bestFit="1" customWidth="1"/>
    <col min="6" max="6" width="21.7109375" style="6" bestFit="1" customWidth="1"/>
    <col min="7" max="7" width="25.7109375" style="6" customWidth="1"/>
    <col min="8" max="8" width="22.5703125" style="6" customWidth="1"/>
    <col min="9" max="9" width="19" style="6" customWidth="1"/>
    <col min="10" max="15" width="7.140625" style="6" customWidth="1"/>
    <col min="16" max="16" width="21" style="6" customWidth="1"/>
    <col min="17" max="17" width="25.28515625" style="6" bestFit="1" customWidth="1"/>
    <col min="18" max="18" width="31.42578125" style="6" customWidth="1"/>
    <col min="19" max="19" width="17.42578125" style="6" bestFit="1" customWidth="1"/>
    <col min="20" max="20" width="20.7109375" style="6" customWidth="1"/>
    <col min="21" max="21" width="16.28515625" style="6" bestFit="1" customWidth="1"/>
    <col min="22" max="31" width="20.7109375" style="6" customWidth="1"/>
    <col min="32" max="16384" width="9.140625" style="6"/>
  </cols>
  <sheetData>
    <row r="1" spans="1:31" x14ac:dyDescent="0.2">
      <c r="A1" s="6" t="s">
        <v>26</v>
      </c>
      <c r="B1" s="6" t="s">
        <v>27</v>
      </c>
      <c r="C1" s="6" t="s">
        <v>28</v>
      </c>
      <c r="D1" s="6" t="s">
        <v>29</v>
      </c>
      <c r="E1" s="6" t="s">
        <v>30</v>
      </c>
      <c r="F1" s="6" t="s">
        <v>43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33</v>
      </c>
      <c r="L1" s="6" t="s">
        <v>34</v>
      </c>
      <c r="M1" s="6" t="s">
        <v>35</v>
      </c>
      <c r="N1" s="6" t="s">
        <v>36</v>
      </c>
      <c r="O1" s="6" t="s">
        <v>37</v>
      </c>
      <c r="P1" s="6" t="s">
        <v>39</v>
      </c>
      <c r="Q1" s="6" t="s">
        <v>40</v>
      </c>
      <c r="R1" s="6" t="s">
        <v>38</v>
      </c>
      <c r="S1" s="6" t="s">
        <v>41</v>
      </c>
      <c r="T1" s="6" t="s">
        <v>110</v>
      </c>
      <c r="U1" s="6" t="s">
        <v>111</v>
      </c>
      <c r="V1" s="6" t="s">
        <v>112</v>
      </c>
      <c r="W1" s="6" t="s">
        <v>113</v>
      </c>
      <c r="X1" s="6" t="s">
        <v>114</v>
      </c>
      <c r="Y1" s="6" t="s">
        <v>115</v>
      </c>
      <c r="Z1" s="6" t="s">
        <v>116</v>
      </c>
      <c r="AA1" s="6" t="s">
        <v>117</v>
      </c>
      <c r="AB1" s="6" t="s">
        <v>118</v>
      </c>
      <c r="AC1" s="6" t="s">
        <v>119</v>
      </c>
      <c r="AD1" s="6" t="s">
        <v>120</v>
      </c>
      <c r="AE1" s="6" t="s">
        <v>121</v>
      </c>
    </row>
    <row r="2" spans="1:31" x14ac:dyDescent="0.2">
      <c r="F2" s="6" t="s">
        <v>32</v>
      </c>
      <c r="G2" s="6" t="s">
        <v>31</v>
      </c>
      <c r="H2" s="6" t="s">
        <v>76</v>
      </c>
      <c r="I2" s="6" t="s">
        <v>99</v>
      </c>
      <c r="J2" s="6" t="s">
        <v>100</v>
      </c>
      <c r="K2" s="6" t="s">
        <v>77</v>
      </c>
      <c r="L2" s="6" t="s">
        <v>101</v>
      </c>
      <c r="M2" s="6" t="s">
        <v>102</v>
      </c>
      <c r="N2" s="6" t="s">
        <v>78</v>
      </c>
      <c r="O2" s="6" t="s">
        <v>103</v>
      </c>
      <c r="P2" s="6" t="s">
        <v>104</v>
      </c>
      <c r="Q2" s="6" t="s">
        <v>93</v>
      </c>
      <c r="R2" s="6" t="s">
        <v>105</v>
      </c>
      <c r="S2" s="6" t="s">
        <v>106</v>
      </c>
    </row>
    <row r="3" spans="1:31" x14ac:dyDescent="0.2">
      <c r="F3" s="6" t="s">
        <v>42</v>
      </c>
      <c r="G3" s="6" t="s">
        <v>74</v>
      </c>
      <c r="H3" s="6" t="s">
        <v>31</v>
      </c>
      <c r="I3" s="6" t="s">
        <v>94</v>
      </c>
      <c r="J3" s="6" t="s">
        <v>75</v>
      </c>
      <c r="K3" s="6" t="s">
        <v>107</v>
      </c>
      <c r="L3" s="6" t="s">
        <v>108</v>
      </c>
    </row>
    <row r="4" spans="1:31" x14ac:dyDescent="0.2">
      <c r="F4" s="6" t="s">
        <v>109</v>
      </c>
      <c r="G4" s="6" t="s">
        <v>31</v>
      </c>
      <c r="H4" s="6" t="s">
        <v>164</v>
      </c>
      <c r="I4" s="6" t="s">
        <v>165</v>
      </c>
      <c r="J4" s="6" t="s">
        <v>166</v>
      </c>
      <c r="K4" s="6" t="s">
        <v>167</v>
      </c>
      <c r="L4" s="6" t="s">
        <v>168</v>
      </c>
      <c r="M4" s="6" t="s">
        <v>169</v>
      </c>
      <c r="N4" s="6" t="s">
        <v>170</v>
      </c>
      <c r="O4" s="6" t="s">
        <v>171</v>
      </c>
      <c r="P4" s="6" t="s">
        <v>172</v>
      </c>
      <c r="Q4" s="6" t="s">
        <v>173</v>
      </c>
      <c r="R4" s="6" t="s">
        <v>174</v>
      </c>
      <c r="S4" s="6" t="s">
        <v>175</v>
      </c>
      <c r="T4" s="6" t="s">
        <v>176</v>
      </c>
      <c r="U4" s="6" t="s">
        <v>177</v>
      </c>
      <c r="V4" s="6" t="s">
        <v>178</v>
      </c>
      <c r="W4" s="6" t="s">
        <v>179</v>
      </c>
      <c r="X4" s="6" t="s">
        <v>180</v>
      </c>
      <c r="Y4" s="6" t="s">
        <v>181</v>
      </c>
      <c r="Z4" s="6" t="s">
        <v>182</v>
      </c>
      <c r="AA4" s="6" t="s">
        <v>183</v>
      </c>
      <c r="AB4" s="6" t="s">
        <v>184</v>
      </c>
      <c r="AC4" s="6" t="s">
        <v>185</v>
      </c>
      <c r="AD4" s="6" t="s">
        <v>186</v>
      </c>
      <c r="AE4" s="6" t="s">
        <v>187</v>
      </c>
    </row>
    <row r="5" spans="1:31" x14ac:dyDescent="0.2">
      <c r="F5" s="6" t="s">
        <v>135</v>
      </c>
      <c r="G5" s="6" t="s">
        <v>74</v>
      </c>
      <c r="H5" s="6" t="s">
        <v>13</v>
      </c>
      <c r="I5" s="6" t="s">
        <v>94</v>
      </c>
      <c r="J5" s="6" t="s">
        <v>16</v>
      </c>
      <c r="K5" s="6" t="s">
        <v>17</v>
      </c>
      <c r="L5" s="6" t="s">
        <v>19</v>
      </c>
      <c r="M5" s="6" t="s">
        <v>21</v>
      </c>
      <c r="N5" s="6" t="s">
        <v>23</v>
      </c>
      <c r="O5" s="6" t="s">
        <v>154</v>
      </c>
      <c r="P5" s="6" t="s">
        <v>163</v>
      </c>
      <c r="Q5" s="6" t="s">
        <v>152</v>
      </c>
    </row>
    <row r="6" spans="1:31" x14ac:dyDescent="0.2">
      <c r="F6" s="6" t="s">
        <v>136</v>
      </c>
      <c r="G6" s="6" t="s">
        <v>74</v>
      </c>
      <c r="H6" s="6" t="s">
        <v>13</v>
      </c>
      <c r="I6" s="6" t="s">
        <v>94</v>
      </c>
      <c r="J6" s="6" t="s">
        <v>16</v>
      </c>
      <c r="K6" s="6" t="s">
        <v>17</v>
      </c>
      <c r="L6" s="6" t="s">
        <v>19</v>
      </c>
      <c r="M6" s="6" t="s">
        <v>21</v>
      </c>
      <c r="N6" s="6" t="s">
        <v>23</v>
      </c>
      <c r="O6" s="6" t="s">
        <v>154</v>
      </c>
      <c r="P6" s="6" t="s">
        <v>163</v>
      </c>
      <c r="Q6" s="6" t="s">
        <v>152</v>
      </c>
    </row>
    <row r="7" spans="1:31" x14ac:dyDescent="0.2">
      <c r="F7" s="6" t="s">
        <v>148</v>
      </c>
      <c r="G7" s="6" t="s">
        <v>74</v>
      </c>
      <c r="H7" s="6" t="s">
        <v>13</v>
      </c>
      <c r="I7" s="6" t="s">
        <v>94</v>
      </c>
      <c r="J7" s="6" t="s">
        <v>149</v>
      </c>
      <c r="K7" s="6" t="s">
        <v>150</v>
      </c>
      <c r="L7" s="6" t="s">
        <v>151</v>
      </c>
      <c r="M7" s="6" t="s">
        <v>152</v>
      </c>
      <c r="N7" s="6" t="s">
        <v>153</v>
      </c>
    </row>
    <row r="8" spans="1:31" x14ac:dyDescent="0.2">
      <c r="F8" s="6" t="s">
        <v>193</v>
      </c>
      <c r="G8" s="6" t="s">
        <v>74</v>
      </c>
      <c r="H8" s="6" t="s">
        <v>13</v>
      </c>
      <c r="I8" s="6" t="s">
        <v>94</v>
      </c>
      <c r="J8" s="6" t="s">
        <v>149</v>
      </c>
      <c r="K8" s="6" t="s">
        <v>196</v>
      </c>
      <c r="L8" s="6" t="s">
        <v>194</v>
      </c>
    </row>
    <row r="9" spans="1:31" x14ac:dyDescent="0.2">
      <c r="F9" s="6" t="s">
        <v>158</v>
      </c>
      <c r="G9" s="6" t="s">
        <v>74</v>
      </c>
      <c r="H9" s="6" t="s">
        <v>13</v>
      </c>
      <c r="I9" s="6" t="s">
        <v>94</v>
      </c>
      <c r="J9" s="6" t="s">
        <v>159</v>
      </c>
      <c r="K9" s="6" t="s">
        <v>161</v>
      </c>
    </row>
    <row r="10" spans="1:31" x14ac:dyDescent="0.2">
      <c r="F10" s="6" t="s">
        <v>56</v>
      </c>
      <c r="G10" s="6" t="s">
        <v>96</v>
      </c>
      <c r="H10" s="6" t="s">
        <v>44</v>
      </c>
      <c r="I10" s="6" t="s">
        <v>45</v>
      </c>
      <c r="J10" s="6" t="s">
        <v>46</v>
      </c>
      <c r="K10" s="6" t="s">
        <v>47</v>
      </c>
      <c r="L10" s="6" t="s">
        <v>48</v>
      </c>
      <c r="M10" s="6" t="s">
        <v>49</v>
      </c>
      <c r="N10" s="6" t="s">
        <v>50</v>
      </c>
      <c r="O10" s="6" t="s">
        <v>51</v>
      </c>
      <c r="P10" s="6" t="s">
        <v>52</v>
      </c>
      <c r="Q10" s="6" t="s">
        <v>53</v>
      </c>
      <c r="R10" s="6" t="s">
        <v>54</v>
      </c>
      <c r="S10" s="6" t="s">
        <v>55</v>
      </c>
    </row>
    <row r="11" spans="1:31" x14ac:dyDescent="0.2">
      <c r="F11" s="6" t="s">
        <v>57</v>
      </c>
      <c r="G11" s="6" t="s">
        <v>61</v>
      </c>
      <c r="H11" s="6" t="s">
        <v>62</v>
      </c>
      <c r="I11" s="6" t="s">
        <v>63</v>
      </c>
      <c r="J11" s="6" t="s">
        <v>64</v>
      </c>
      <c r="K11" s="6" t="s">
        <v>65</v>
      </c>
      <c r="L11" s="6" t="s">
        <v>66</v>
      </c>
      <c r="M11" s="6" t="s">
        <v>67</v>
      </c>
      <c r="N11" s="6" t="s">
        <v>68</v>
      </c>
      <c r="O11" s="6" t="s">
        <v>69</v>
      </c>
      <c r="P11" s="6" t="s">
        <v>70</v>
      </c>
      <c r="Q11" s="6" t="s">
        <v>71</v>
      </c>
      <c r="R11" s="6" t="s">
        <v>72</v>
      </c>
      <c r="S11" s="6" t="s">
        <v>95</v>
      </c>
    </row>
    <row r="12" spans="1:31" x14ac:dyDescent="0.2">
      <c r="F12" s="6" t="s">
        <v>122</v>
      </c>
      <c r="G12" s="6" t="s">
        <v>74</v>
      </c>
      <c r="H12" s="6" t="s">
        <v>123</v>
      </c>
      <c r="I12" s="6" t="s">
        <v>124</v>
      </c>
      <c r="J12" s="6" t="s">
        <v>125</v>
      </c>
      <c r="K12" s="6" t="s">
        <v>126</v>
      </c>
      <c r="L12" s="6" t="s">
        <v>127</v>
      </c>
      <c r="M12" s="6" t="s">
        <v>128</v>
      </c>
      <c r="N12" s="6" t="s">
        <v>129</v>
      </c>
      <c r="O12" s="6" t="s">
        <v>130</v>
      </c>
      <c r="P12" s="6" t="s">
        <v>131</v>
      </c>
      <c r="Q12" s="6" t="s">
        <v>132</v>
      </c>
    </row>
    <row r="14" spans="1:31" x14ac:dyDescent="0.2">
      <c r="J14" s="7"/>
      <c r="K14" s="7"/>
      <c r="L14" s="7"/>
      <c r="M14" s="7"/>
      <c r="N14" s="7"/>
      <c r="O14" s="7"/>
    </row>
    <row r="15" spans="1:31" x14ac:dyDescent="0.2">
      <c r="A15" s="6" t="s">
        <v>202</v>
      </c>
      <c r="B15" s="6" t="s">
        <v>203</v>
      </c>
      <c r="E15" s="6" t="s">
        <v>217</v>
      </c>
      <c r="F15" s="6" t="s">
        <v>136</v>
      </c>
      <c r="G15" s="6" t="str">
        <f>TestObjects[[#This Row],[Objectname]]</f>
        <v>Power</v>
      </c>
      <c r="H15" s="6" t="s">
        <v>198</v>
      </c>
      <c r="I15" s="6" t="str">
        <f>TestObjects[[#This Row],[Column1]]</f>
        <v>Power</v>
      </c>
      <c r="J15" s="8">
        <v>100</v>
      </c>
      <c r="K15" s="8">
        <v>1</v>
      </c>
      <c r="L15" s="8">
        <v>1</v>
      </c>
      <c r="M15" s="8">
        <v>0</v>
      </c>
      <c r="N15" s="8">
        <v>0</v>
      </c>
      <c r="O15" s="8">
        <v>45</v>
      </c>
    </row>
    <row r="16" spans="1:31" x14ac:dyDescent="0.2">
      <c r="J16" s="8"/>
      <c r="K16" s="8"/>
      <c r="L16" s="8"/>
      <c r="M16" s="8"/>
      <c r="N16" s="8"/>
      <c r="O16" s="8"/>
    </row>
    <row r="17" spans="1:15" x14ac:dyDescent="0.2">
      <c r="A17" s="6" t="s">
        <v>202</v>
      </c>
      <c r="B17" s="6" t="s">
        <v>221</v>
      </c>
      <c r="C17" s="6" t="s">
        <v>218</v>
      </c>
      <c r="D17" s="6" t="s">
        <v>219</v>
      </c>
      <c r="E17" s="6" t="s">
        <v>220</v>
      </c>
      <c r="F17" s="6" t="str">
        <f>F15</f>
        <v>-104 Telegram</v>
      </c>
      <c r="G17" s="6" t="s">
        <v>221</v>
      </c>
      <c r="H17" s="6" t="str">
        <f>H15</f>
        <v>CMC_104</v>
      </c>
      <c r="I17" s="6" t="str">
        <f>TestObjects[[#This Row],[Objectname]]</f>
        <v>UL1_a</v>
      </c>
      <c r="J17" s="8">
        <f>J15</f>
        <v>100</v>
      </c>
      <c r="K17" s="8">
        <f>K15</f>
        <v>1</v>
      </c>
      <c r="L17" s="8">
        <v>1</v>
      </c>
      <c r="M17" s="8">
        <v>1</v>
      </c>
      <c r="N17" s="8">
        <v>1</v>
      </c>
      <c r="O17" s="8">
        <v>50</v>
      </c>
    </row>
    <row r="18" spans="1:15" x14ac:dyDescent="0.2">
      <c r="A18" s="6" t="s">
        <v>202</v>
      </c>
      <c r="B18" s="6" t="s">
        <v>221</v>
      </c>
      <c r="C18" s="6" t="str">
        <f>C17</f>
        <v>UL1</v>
      </c>
      <c r="D18" s="6" t="s">
        <v>222</v>
      </c>
      <c r="E18" s="6" t="s">
        <v>223</v>
      </c>
      <c r="F18" s="6" t="str">
        <f>F17</f>
        <v>-104 Telegram</v>
      </c>
      <c r="G18" s="6" t="s">
        <v>221</v>
      </c>
      <c r="H18" s="6" t="str">
        <f>H17</f>
        <v>CMC_104</v>
      </c>
      <c r="I18" s="6" t="str">
        <f>TestObjects[[#This Row],[Objectname]]</f>
        <v>UL1_p</v>
      </c>
      <c r="J18" s="8">
        <f>J17</f>
        <v>100</v>
      </c>
      <c r="K18" s="8">
        <f>K17</f>
        <v>1</v>
      </c>
      <c r="L18" s="8">
        <v>1</v>
      </c>
      <c r="M18" s="8">
        <v>1</v>
      </c>
      <c r="N18" s="8">
        <v>2</v>
      </c>
      <c r="O18" s="8">
        <v>50</v>
      </c>
    </row>
    <row r="19" spans="1:15" x14ac:dyDescent="0.2">
      <c r="A19" s="6" t="s">
        <v>202</v>
      </c>
      <c r="B19" s="6" t="s">
        <v>221</v>
      </c>
      <c r="C19" s="6" t="str">
        <f>C17</f>
        <v>UL1</v>
      </c>
      <c r="D19" s="6" t="s">
        <v>219</v>
      </c>
      <c r="E19" s="6" t="s">
        <v>239</v>
      </c>
      <c r="F19" s="6" t="str">
        <f>F17</f>
        <v>-104 Telegram</v>
      </c>
      <c r="G19" s="6" t="s">
        <v>221</v>
      </c>
      <c r="H19" s="6" t="str">
        <f>H17</f>
        <v>CMC_104</v>
      </c>
      <c r="I19" s="6" t="str">
        <f>TestObjects[[#This Row],[Objectname]]</f>
        <v>UL1_f</v>
      </c>
      <c r="J19" s="8">
        <f>J17</f>
        <v>100</v>
      </c>
      <c r="K19" s="8">
        <f>K17</f>
        <v>1</v>
      </c>
      <c r="L19" s="8">
        <v>1</v>
      </c>
      <c r="M19" s="8">
        <v>1</v>
      </c>
      <c r="N19" s="8">
        <v>3</v>
      </c>
      <c r="O19" s="8">
        <v>50</v>
      </c>
    </row>
    <row r="20" spans="1:15" x14ac:dyDescent="0.2">
      <c r="A20" s="6" t="s">
        <v>202</v>
      </c>
      <c r="B20" s="6" t="s">
        <v>221</v>
      </c>
      <c r="C20" s="6" t="s">
        <v>224</v>
      </c>
      <c r="D20" s="6" t="s">
        <v>219</v>
      </c>
      <c r="E20" s="6" t="s">
        <v>225</v>
      </c>
      <c r="F20" s="6" t="str">
        <f>F18</f>
        <v>-104 Telegram</v>
      </c>
      <c r="G20" s="6" t="s">
        <v>221</v>
      </c>
      <c r="H20" s="6" t="str">
        <f>H18</f>
        <v>CMC_104</v>
      </c>
      <c r="I20" s="6" t="str">
        <f>TestObjects[[#This Row],[Objectname]]</f>
        <v>UL2_a</v>
      </c>
      <c r="J20" s="8">
        <f>J18</f>
        <v>100</v>
      </c>
      <c r="K20" s="8">
        <f>K18</f>
        <v>1</v>
      </c>
      <c r="L20" s="8">
        <v>1</v>
      </c>
      <c r="M20" s="8">
        <v>2</v>
      </c>
      <c r="N20" s="8">
        <v>1</v>
      </c>
      <c r="O20" s="8">
        <v>50</v>
      </c>
    </row>
    <row r="21" spans="1:15" x14ac:dyDescent="0.2">
      <c r="A21" s="6" t="s">
        <v>202</v>
      </c>
      <c r="B21" s="6" t="s">
        <v>221</v>
      </c>
      <c r="C21" s="6" t="str">
        <f>C20</f>
        <v>UL2</v>
      </c>
      <c r="D21" s="6" t="s">
        <v>222</v>
      </c>
      <c r="E21" s="6" t="s">
        <v>226</v>
      </c>
      <c r="F21" s="6" t="str">
        <f>F20</f>
        <v>-104 Telegram</v>
      </c>
      <c r="G21" s="6" t="s">
        <v>221</v>
      </c>
      <c r="H21" s="6" t="str">
        <f>H20</f>
        <v>CMC_104</v>
      </c>
      <c r="I21" s="6" t="str">
        <f>TestObjects[[#This Row],[Objectname]]</f>
        <v>UL2_p</v>
      </c>
      <c r="J21" s="8">
        <f>J20</f>
        <v>100</v>
      </c>
      <c r="K21" s="8">
        <f>K20</f>
        <v>1</v>
      </c>
      <c r="L21" s="8">
        <v>1</v>
      </c>
      <c r="M21" s="8">
        <f>M20</f>
        <v>2</v>
      </c>
      <c r="N21" s="8">
        <v>2</v>
      </c>
      <c r="O21" s="8">
        <v>50</v>
      </c>
    </row>
    <row r="22" spans="1:15" x14ac:dyDescent="0.2">
      <c r="A22" s="6" t="s">
        <v>202</v>
      </c>
      <c r="B22" s="6" t="s">
        <v>221</v>
      </c>
      <c r="C22" s="6" t="str">
        <f>C21</f>
        <v>UL2</v>
      </c>
      <c r="D22" s="6" t="s">
        <v>219</v>
      </c>
      <c r="E22" s="6" t="s">
        <v>240</v>
      </c>
      <c r="F22" s="6" t="str">
        <f>F20</f>
        <v>-104 Telegram</v>
      </c>
      <c r="G22" s="6" t="s">
        <v>221</v>
      </c>
      <c r="H22" s="6" t="str">
        <f>H20</f>
        <v>CMC_104</v>
      </c>
      <c r="I22" s="6" t="str">
        <f>TestObjects[[#This Row],[Objectname]]</f>
        <v>UL2_f</v>
      </c>
      <c r="J22" s="8">
        <f>J20</f>
        <v>100</v>
      </c>
      <c r="K22" s="8">
        <f>K20</f>
        <v>1</v>
      </c>
      <c r="L22" s="8">
        <v>1</v>
      </c>
      <c r="M22" s="8">
        <f>M21</f>
        <v>2</v>
      </c>
      <c r="N22" s="8">
        <v>3</v>
      </c>
      <c r="O22" s="8">
        <v>50</v>
      </c>
    </row>
    <row r="23" spans="1:15" x14ac:dyDescent="0.2">
      <c r="A23" s="6" t="s">
        <v>202</v>
      </c>
      <c r="B23" s="6" t="s">
        <v>221</v>
      </c>
      <c r="C23" s="6" t="s">
        <v>227</v>
      </c>
      <c r="D23" s="6" t="s">
        <v>219</v>
      </c>
      <c r="E23" s="6" t="s">
        <v>228</v>
      </c>
      <c r="F23" s="6" t="str">
        <f>F21</f>
        <v>-104 Telegram</v>
      </c>
      <c r="G23" s="6" t="s">
        <v>221</v>
      </c>
      <c r="H23" s="6" t="str">
        <f>H21</f>
        <v>CMC_104</v>
      </c>
      <c r="I23" s="6" t="str">
        <f>TestObjects[[#This Row],[Objectname]]</f>
        <v>UL3_a</v>
      </c>
      <c r="J23" s="8">
        <f>J21</f>
        <v>100</v>
      </c>
      <c r="K23" s="8">
        <f>K21</f>
        <v>1</v>
      </c>
      <c r="L23" s="8">
        <v>1</v>
      </c>
      <c r="M23" s="8">
        <v>3</v>
      </c>
      <c r="N23" s="8">
        <v>1</v>
      </c>
      <c r="O23" s="8">
        <v>50</v>
      </c>
    </row>
    <row r="24" spans="1:15" x14ac:dyDescent="0.2">
      <c r="A24" s="6" t="s">
        <v>202</v>
      </c>
      <c r="B24" s="6" t="s">
        <v>221</v>
      </c>
      <c r="C24" s="6" t="str">
        <f>C23</f>
        <v>UL3</v>
      </c>
      <c r="D24" s="6" t="s">
        <v>222</v>
      </c>
      <c r="E24" s="6" t="s">
        <v>229</v>
      </c>
      <c r="F24" s="6" t="str">
        <f>F23</f>
        <v>-104 Telegram</v>
      </c>
      <c r="G24" s="6" t="s">
        <v>221</v>
      </c>
      <c r="H24" s="6" t="str">
        <f>H23</f>
        <v>CMC_104</v>
      </c>
      <c r="I24" s="6" t="str">
        <f>TestObjects[[#This Row],[Objectname]]</f>
        <v>UL3_p</v>
      </c>
      <c r="J24" s="8">
        <f>J23</f>
        <v>100</v>
      </c>
      <c r="K24" s="8">
        <f>K23</f>
        <v>1</v>
      </c>
      <c r="L24" s="8">
        <v>1</v>
      </c>
      <c r="M24" s="8">
        <f>M23</f>
        <v>3</v>
      </c>
      <c r="N24" s="8">
        <v>2</v>
      </c>
      <c r="O24" s="8">
        <v>50</v>
      </c>
    </row>
    <row r="25" spans="1:15" x14ac:dyDescent="0.2">
      <c r="A25" s="6" t="s">
        <v>202</v>
      </c>
      <c r="B25" s="6" t="s">
        <v>221</v>
      </c>
      <c r="C25" s="6" t="str">
        <f>C24</f>
        <v>UL3</v>
      </c>
      <c r="D25" s="6" t="s">
        <v>219</v>
      </c>
      <c r="E25" s="6" t="s">
        <v>241</v>
      </c>
      <c r="F25" s="6" t="str">
        <f>F23</f>
        <v>-104 Telegram</v>
      </c>
      <c r="G25" s="6" t="s">
        <v>221</v>
      </c>
      <c r="H25" s="6" t="str">
        <f>H23</f>
        <v>CMC_104</v>
      </c>
      <c r="I25" s="6" t="str">
        <f>TestObjects[[#This Row],[Objectname]]</f>
        <v>UL3_f</v>
      </c>
      <c r="J25" s="8">
        <f>J23</f>
        <v>100</v>
      </c>
      <c r="K25" s="8">
        <f>K23</f>
        <v>1</v>
      </c>
      <c r="L25" s="8">
        <v>1</v>
      </c>
      <c r="M25" s="8">
        <f>M24</f>
        <v>3</v>
      </c>
      <c r="N25" s="8">
        <v>3</v>
      </c>
      <c r="O25" s="8">
        <v>50</v>
      </c>
    </row>
    <row r="26" spans="1:15" x14ac:dyDescent="0.2">
      <c r="J26" s="8"/>
      <c r="K26" s="8"/>
      <c r="L26" s="8"/>
      <c r="M26" s="8"/>
      <c r="N26" s="8"/>
    </row>
    <row r="27" spans="1:15" x14ac:dyDescent="0.2">
      <c r="A27" s="6" t="s">
        <v>202</v>
      </c>
      <c r="B27" s="6" t="s">
        <v>221</v>
      </c>
      <c r="C27" s="6" t="s">
        <v>230</v>
      </c>
      <c r="D27" s="6" t="s">
        <v>219</v>
      </c>
      <c r="E27" s="6" t="s">
        <v>233</v>
      </c>
      <c r="F27" s="6" t="str">
        <f>F25</f>
        <v>-104 Telegram</v>
      </c>
      <c r="G27" s="6" t="s">
        <v>221</v>
      </c>
      <c r="H27" s="6" t="str">
        <f>H25</f>
        <v>CMC_104</v>
      </c>
      <c r="I27" s="6" t="str">
        <f>TestObjects[[#This Row],[Objectname]]</f>
        <v>IL1_a</v>
      </c>
      <c r="J27" s="8">
        <f>J25</f>
        <v>100</v>
      </c>
      <c r="K27" s="8">
        <f>K25</f>
        <v>1</v>
      </c>
      <c r="L27" s="8">
        <v>1</v>
      </c>
      <c r="M27" s="8">
        <v>4</v>
      </c>
      <c r="N27" s="8">
        <v>1</v>
      </c>
      <c r="O27" s="8">
        <v>50</v>
      </c>
    </row>
    <row r="28" spans="1:15" x14ac:dyDescent="0.2">
      <c r="A28" s="6" t="s">
        <v>202</v>
      </c>
      <c r="B28" s="6" t="s">
        <v>221</v>
      </c>
      <c r="C28" s="6" t="str">
        <f>C27</f>
        <v>IL1</v>
      </c>
      <c r="D28" s="6" t="s">
        <v>222</v>
      </c>
      <c r="E28" s="6" t="s">
        <v>234</v>
      </c>
      <c r="F28" s="6" t="str">
        <f>F27</f>
        <v>-104 Telegram</v>
      </c>
      <c r="G28" s="6" t="s">
        <v>221</v>
      </c>
      <c r="H28" s="6" t="str">
        <f>H27</f>
        <v>CMC_104</v>
      </c>
      <c r="I28" s="6" t="str">
        <f>TestObjects[[#This Row],[Objectname]]</f>
        <v>IL1_p</v>
      </c>
      <c r="J28" s="8">
        <f>J27</f>
        <v>100</v>
      </c>
      <c r="K28" s="8">
        <f>K27</f>
        <v>1</v>
      </c>
      <c r="L28" s="8">
        <v>1</v>
      </c>
      <c r="M28" s="8">
        <f>M27</f>
        <v>4</v>
      </c>
      <c r="N28" s="8">
        <v>2</v>
      </c>
      <c r="O28" s="8">
        <v>50</v>
      </c>
    </row>
    <row r="29" spans="1:15" x14ac:dyDescent="0.2">
      <c r="A29" s="6" t="s">
        <v>202</v>
      </c>
      <c r="B29" s="6" t="s">
        <v>221</v>
      </c>
      <c r="C29" s="6" t="str">
        <f>C27</f>
        <v>IL1</v>
      </c>
      <c r="D29" s="6" t="s">
        <v>219</v>
      </c>
      <c r="E29" s="6" t="s">
        <v>242</v>
      </c>
      <c r="F29" s="6" t="str">
        <f>F27</f>
        <v>-104 Telegram</v>
      </c>
      <c r="G29" s="6" t="s">
        <v>221</v>
      </c>
      <c r="H29" s="6" t="str">
        <f>H27</f>
        <v>CMC_104</v>
      </c>
      <c r="I29" s="6" t="str">
        <f>TestObjects[[#This Row],[Objectname]]</f>
        <v>IL1_f</v>
      </c>
      <c r="J29" s="8">
        <f>J27</f>
        <v>100</v>
      </c>
      <c r="K29" s="8">
        <f>K27</f>
        <v>1</v>
      </c>
      <c r="L29" s="8">
        <v>1</v>
      </c>
      <c r="M29" s="8">
        <f>M28</f>
        <v>4</v>
      </c>
      <c r="N29" s="8">
        <v>3</v>
      </c>
      <c r="O29" s="8">
        <v>50</v>
      </c>
    </row>
    <row r="30" spans="1:15" x14ac:dyDescent="0.2">
      <c r="A30" s="6" t="s">
        <v>202</v>
      </c>
      <c r="B30" s="6" t="s">
        <v>221</v>
      </c>
      <c r="C30" s="6" t="s">
        <v>231</v>
      </c>
      <c r="D30" s="6" t="s">
        <v>219</v>
      </c>
      <c r="E30" s="6" t="s">
        <v>235</v>
      </c>
      <c r="F30" s="6" t="str">
        <f>F28</f>
        <v>-104 Telegram</v>
      </c>
      <c r="G30" s="6" t="s">
        <v>221</v>
      </c>
      <c r="H30" s="6" t="str">
        <f>H28</f>
        <v>CMC_104</v>
      </c>
      <c r="I30" s="6" t="str">
        <f>TestObjects[[#This Row],[Objectname]]</f>
        <v>IL2_a</v>
      </c>
      <c r="J30" s="8">
        <f>J28</f>
        <v>100</v>
      </c>
      <c r="K30" s="8">
        <f>K28</f>
        <v>1</v>
      </c>
      <c r="L30" s="8">
        <v>1</v>
      </c>
      <c r="M30" s="8">
        <v>5</v>
      </c>
      <c r="N30" s="8">
        <v>1</v>
      </c>
      <c r="O30" s="8">
        <v>50</v>
      </c>
    </row>
    <row r="31" spans="1:15" x14ac:dyDescent="0.2">
      <c r="A31" s="6" t="s">
        <v>202</v>
      </c>
      <c r="B31" s="6" t="s">
        <v>221</v>
      </c>
      <c r="C31" s="6" t="str">
        <f>C30</f>
        <v>IL2</v>
      </c>
      <c r="D31" s="6" t="s">
        <v>222</v>
      </c>
      <c r="E31" s="6" t="s">
        <v>236</v>
      </c>
      <c r="F31" s="6" t="str">
        <f>F30</f>
        <v>-104 Telegram</v>
      </c>
      <c r="G31" s="6" t="s">
        <v>221</v>
      </c>
      <c r="H31" s="6" t="str">
        <f>H30</f>
        <v>CMC_104</v>
      </c>
      <c r="I31" s="6" t="str">
        <f>TestObjects[[#This Row],[Objectname]]</f>
        <v>IL2_p</v>
      </c>
      <c r="J31" s="8">
        <f>J30</f>
        <v>100</v>
      </c>
      <c r="K31" s="8">
        <f>K30</f>
        <v>1</v>
      </c>
      <c r="L31" s="8">
        <v>1</v>
      </c>
      <c r="M31" s="8">
        <f>M30</f>
        <v>5</v>
      </c>
      <c r="N31" s="8">
        <v>2</v>
      </c>
      <c r="O31" s="8">
        <v>50</v>
      </c>
    </row>
    <row r="32" spans="1:15" x14ac:dyDescent="0.2">
      <c r="A32" s="6" t="s">
        <v>202</v>
      </c>
      <c r="B32" s="6" t="s">
        <v>221</v>
      </c>
      <c r="C32" s="6" t="str">
        <f>C31</f>
        <v>IL2</v>
      </c>
      <c r="D32" s="6" t="s">
        <v>219</v>
      </c>
      <c r="E32" s="6" t="s">
        <v>243</v>
      </c>
      <c r="F32" s="6" t="str">
        <f>F30</f>
        <v>-104 Telegram</v>
      </c>
      <c r="G32" s="6" t="s">
        <v>221</v>
      </c>
      <c r="H32" s="6" t="str">
        <f>H30</f>
        <v>CMC_104</v>
      </c>
      <c r="I32" s="6" t="str">
        <f>TestObjects[[#This Row],[Objectname]]</f>
        <v>IL2_f</v>
      </c>
      <c r="J32" s="8">
        <f>J30</f>
        <v>100</v>
      </c>
      <c r="K32" s="8">
        <f>K30</f>
        <v>1</v>
      </c>
      <c r="L32" s="8">
        <v>1</v>
      </c>
      <c r="M32" s="8">
        <f>M31</f>
        <v>5</v>
      </c>
      <c r="N32" s="8">
        <v>3</v>
      </c>
      <c r="O32" s="8">
        <v>50</v>
      </c>
    </row>
    <row r="33" spans="1:15" x14ac:dyDescent="0.2">
      <c r="A33" s="6" t="s">
        <v>202</v>
      </c>
      <c r="B33" s="6" t="s">
        <v>221</v>
      </c>
      <c r="C33" s="6" t="s">
        <v>232</v>
      </c>
      <c r="D33" s="6" t="s">
        <v>219</v>
      </c>
      <c r="E33" s="6" t="s">
        <v>237</v>
      </c>
      <c r="F33" s="6" t="str">
        <f>F31</f>
        <v>-104 Telegram</v>
      </c>
      <c r="G33" s="6" t="s">
        <v>221</v>
      </c>
      <c r="H33" s="6" t="str">
        <f>H31</f>
        <v>CMC_104</v>
      </c>
      <c r="I33" s="6" t="str">
        <f>TestObjects[[#This Row],[Objectname]]</f>
        <v>IL3_a</v>
      </c>
      <c r="J33" s="8">
        <f>J31</f>
        <v>100</v>
      </c>
      <c r="K33" s="8">
        <f>K31</f>
        <v>1</v>
      </c>
      <c r="L33" s="8">
        <v>1</v>
      </c>
      <c r="M33" s="8">
        <v>6</v>
      </c>
      <c r="N33" s="8">
        <v>1</v>
      </c>
      <c r="O33" s="8">
        <v>50</v>
      </c>
    </row>
    <row r="34" spans="1:15" x14ac:dyDescent="0.2">
      <c r="A34" s="6" t="s">
        <v>202</v>
      </c>
      <c r="B34" s="6" t="s">
        <v>221</v>
      </c>
      <c r="C34" s="6" t="str">
        <f>C33</f>
        <v>IL3</v>
      </c>
      <c r="D34" s="6" t="s">
        <v>222</v>
      </c>
      <c r="E34" s="6" t="s">
        <v>238</v>
      </c>
      <c r="F34" s="6" t="str">
        <f>F33</f>
        <v>-104 Telegram</v>
      </c>
      <c r="G34" s="6" t="s">
        <v>221</v>
      </c>
      <c r="H34" s="6" t="str">
        <f>H33</f>
        <v>CMC_104</v>
      </c>
      <c r="I34" s="6" t="str">
        <f>TestObjects[[#This Row],[Objectname]]</f>
        <v>IL3_p</v>
      </c>
      <c r="J34" s="8">
        <f>J33</f>
        <v>100</v>
      </c>
      <c r="K34" s="8">
        <f>K33</f>
        <v>1</v>
      </c>
      <c r="L34" s="8">
        <v>1</v>
      </c>
      <c r="M34" s="8">
        <f>M33</f>
        <v>6</v>
      </c>
      <c r="N34" s="8">
        <v>2</v>
      </c>
      <c r="O34" s="8">
        <v>50</v>
      </c>
    </row>
    <row r="35" spans="1:15" x14ac:dyDescent="0.2">
      <c r="A35" s="6" t="s">
        <v>202</v>
      </c>
      <c r="B35" s="6" t="s">
        <v>221</v>
      </c>
      <c r="C35" s="6" t="str">
        <f>C34</f>
        <v>IL3</v>
      </c>
      <c r="D35" s="6" t="s">
        <v>219</v>
      </c>
      <c r="E35" s="6" t="s">
        <v>244</v>
      </c>
      <c r="F35" s="6" t="str">
        <f>F33</f>
        <v>-104 Telegram</v>
      </c>
      <c r="G35" s="6" t="s">
        <v>221</v>
      </c>
      <c r="H35" s="6" t="str">
        <f>H33</f>
        <v>CMC_104</v>
      </c>
      <c r="I35" s="6" t="str">
        <f>TestObjects[[#This Row],[Objectname]]</f>
        <v>IL3_f</v>
      </c>
      <c r="J35" s="8">
        <f>J33</f>
        <v>100</v>
      </c>
      <c r="K35" s="8">
        <f>K33</f>
        <v>1</v>
      </c>
      <c r="L35" s="8">
        <v>1</v>
      </c>
      <c r="M35" s="8">
        <f>M34</f>
        <v>6</v>
      </c>
      <c r="N35" s="8">
        <v>3</v>
      </c>
      <c r="O35" s="8">
        <v>50</v>
      </c>
    </row>
    <row r="36" spans="1:15" x14ac:dyDescent="0.2">
      <c r="J36" s="8"/>
      <c r="K36" s="8"/>
      <c r="L36" s="8"/>
      <c r="M36" s="8"/>
      <c r="N36" s="8"/>
      <c r="O36" s="8"/>
    </row>
    <row r="37" spans="1:15" x14ac:dyDescent="0.2">
      <c r="A37" s="6" t="s">
        <v>202</v>
      </c>
      <c r="B37" s="6" t="s">
        <v>221</v>
      </c>
      <c r="E37" s="6" t="s">
        <v>245</v>
      </c>
      <c r="F37" s="6" t="str">
        <f>F34</f>
        <v>-104 Telegram</v>
      </c>
      <c r="G37" s="6" t="s">
        <v>221</v>
      </c>
      <c r="H37" s="6" t="str">
        <f>H34</f>
        <v>CMC_104</v>
      </c>
      <c r="I37" s="6" t="str">
        <f>TestObjects[[#This Row],[Objectname]]</f>
        <v>reset</v>
      </c>
      <c r="J37" s="8">
        <f>J34</f>
        <v>100</v>
      </c>
      <c r="K37" s="8">
        <v>99</v>
      </c>
      <c r="L37" s="8">
        <v>0</v>
      </c>
      <c r="M37" s="8">
        <v>0</v>
      </c>
      <c r="N37" s="8">
        <v>0</v>
      </c>
      <c r="O37" s="8">
        <v>50</v>
      </c>
    </row>
    <row r="38" spans="1:15" x14ac:dyDescent="0.2">
      <c r="J38" s="7"/>
      <c r="K38" s="7"/>
      <c r="L38" s="7"/>
      <c r="M38" s="7"/>
      <c r="N38" s="7"/>
      <c r="O38" s="7"/>
    </row>
    <row r="44" spans="1:15" x14ac:dyDescent="0.2">
      <c r="A44" s="6" t="s">
        <v>202</v>
      </c>
      <c r="B44" s="6" t="s">
        <v>203</v>
      </c>
      <c r="E44" s="6" t="s">
        <v>204</v>
      </c>
      <c r="F44" s="6" t="s">
        <v>136</v>
      </c>
      <c r="G44" s="6" t="s">
        <v>204</v>
      </c>
      <c r="H44" s="6" t="s">
        <v>198</v>
      </c>
      <c r="I44" s="6" t="s">
        <v>204</v>
      </c>
      <c r="J44" s="6">
        <v>100</v>
      </c>
      <c r="K44" s="6">
        <v>1</v>
      </c>
      <c r="L44" s="6">
        <v>2</v>
      </c>
      <c r="M44" s="6">
        <v>0</v>
      </c>
      <c r="N44" s="6">
        <v>0</v>
      </c>
      <c r="O44" s="6" t="s">
        <v>209</v>
      </c>
    </row>
    <row r="45" spans="1:15" x14ac:dyDescent="0.2">
      <c r="A45" s="6" t="s">
        <v>202</v>
      </c>
      <c r="B45" s="6" t="s">
        <v>203</v>
      </c>
      <c r="E45" s="6" t="s">
        <v>210</v>
      </c>
      <c r="F45" s="6" t="s">
        <v>136</v>
      </c>
      <c r="G45" s="6" t="s">
        <v>210</v>
      </c>
      <c r="H45" s="6" t="s">
        <v>198</v>
      </c>
      <c r="I45" s="6" t="s">
        <v>210</v>
      </c>
      <c r="J45" s="6">
        <v>100</v>
      </c>
      <c r="K45" s="6">
        <v>1</v>
      </c>
      <c r="L45" s="6">
        <v>3</v>
      </c>
      <c r="M45" s="6">
        <v>0</v>
      </c>
      <c r="N45" s="6">
        <v>0</v>
      </c>
      <c r="O45" s="6">
        <v>47</v>
      </c>
    </row>
    <row r="46" spans="1:15" x14ac:dyDescent="0.2">
      <c r="A46" s="6" t="s">
        <v>202</v>
      </c>
      <c r="B46" s="6" t="s">
        <v>203</v>
      </c>
      <c r="E46" s="6" t="s">
        <v>211</v>
      </c>
      <c r="F46" s="6" t="s">
        <v>136</v>
      </c>
      <c r="G46" s="6" t="s">
        <v>211</v>
      </c>
      <c r="H46" s="6" t="s">
        <v>198</v>
      </c>
      <c r="I46" s="6" t="s">
        <v>211</v>
      </c>
      <c r="J46" s="6">
        <v>100</v>
      </c>
      <c r="K46" s="6">
        <v>1</v>
      </c>
      <c r="L46" s="6">
        <v>4</v>
      </c>
      <c r="M46" s="6">
        <v>0</v>
      </c>
      <c r="N46" s="6">
        <v>0</v>
      </c>
      <c r="O46" s="6">
        <v>48</v>
      </c>
    </row>
    <row r="47" spans="1:15" x14ac:dyDescent="0.2">
      <c r="A47" s="6" t="s">
        <v>202</v>
      </c>
      <c r="B47" s="6" t="s">
        <v>203</v>
      </c>
      <c r="E47" s="6" t="s">
        <v>212</v>
      </c>
      <c r="F47" s="6" t="s">
        <v>136</v>
      </c>
      <c r="G47" s="6" t="s">
        <v>212</v>
      </c>
      <c r="H47" s="6" t="s">
        <v>198</v>
      </c>
      <c r="I47" s="6" t="s">
        <v>212</v>
      </c>
      <c r="J47" s="6">
        <v>100</v>
      </c>
      <c r="K47" s="6">
        <v>1</v>
      </c>
      <c r="L47" s="6">
        <v>5</v>
      </c>
      <c r="M47" s="6">
        <v>0</v>
      </c>
      <c r="N47" s="6">
        <v>0</v>
      </c>
      <c r="O47" s="6">
        <v>49</v>
      </c>
    </row>
    <row r="48" spans="1:15" x14ac:dyDescent="0.2">
      <c r="A48" s="6" t="s">
        <v>202</v>
      </c>
      <c r="B48" s="6" t="s">
        <v>203</v>
      </c>
      <c r="E48" s="6" t="s">
        <v>213</v>
      </c>
      <c r="F48" s="6" t="s">
        <v>136</v>
      </c>
      <c r="G48" s="6" t="s">
        <v>213</v>
      </c>
      <c r="H48" s="6" t="s">
        <v>198</v>
      </c>
      <c r="I48" s="6" t="s">
        <v>213</v>
      </c>
      <c r="J48" s="6">
        <v>100</v>
      </c>
      <c r="K48" s="6">
        <v>1</v>
      </c>
      <c r="L48" s="6">
        <v>6</v>
      </c>
      <c r="M48" s="6">
        <v>0</v>
      </c>
      <c r="N48" s="6">
        <v>0</v>
      </c>
      <c r="O48" s="6">
        <v>50</v>
      </c>
    </row>
    <row r="49" spans="1:15" x14ac:dyDescent="0.2">
      <c r="A49" s="6" t="s">
        <v>202</v>
      </c>
      <c r="B49" s="6" t="s">
        <v>203</v>
      </c>
      <c r="E49" s="6" t="s">
        <v>214</v>
      </c>
      <c r="F49" s="6" t="s">
        <v>136</v>
      </c>
      <c r="G49" s="6" t="s">
        <v>214</v>
      </c>
      <c r="H49" s="6" t="s">
        <v>198</v>
      </c>
      <c r="I49" s="6" t="s">
        <v>214</v>
      </c>
      <c r="J49" s="6">
        <v>100</v>
      </c>
      <c r="K49" s="6">
        <v>1</v>
      </c>
      <c r="L49" s="6">
        <v>7</v>
      </c>
      <c r="M49" s="6">
        <v>0</v>
      </c>
      <c r="N49" s="6">
        <v>0</v>
      </c>
      <c r="O49" s="6">
        <v>51</v>
      </c>
    </row>
    <row r="51" spans="1:15" x14ac:dyDescent="0.2">
      <c r="A51" s="6" t="s">
        <v>202</v>
      </c>
      <c r="B51" s="6" t="s">
        <v>203</v>
      </c>
      <c r="E51" s="6" t="s">
        <v>215</v>
      </c>
      <c r="F51" s="6" t="s">
        <v>136</v>
      </c>
      <c r="G51" s="6" t="s">
        <v>215</v>
      </c>
      <c r="H51" s="6" t="s">
        <v>198</v>
      </c>
      <c r="I51" s="6" t="s">
        <v>215</v>
      </c>
      <c r="J51" s="6" t="s">
        <v>205</v>
      </c>
      <c r="K51" s="6" t="s">
        <v>206</v>
      </c>
      <c r="L51" s="6" t="s">
        <v>207</v>
      </c>
      <c r="M51" s="6" t="s">
        <v>208</v>
      </c>
      <c r="N51" s="6">
        <v>59</v>
      </c>
      <c r="O51" s="6">
        <v>58</v>
      </c>
    </row>
    <row r="54" spans="1:15" x14ac:dyDescent="0.2">
      <c r="A54" s="6" t="s">
        <v>202</v>
      </c>
      <c r="B54" s="6" t="s">
        <v>203</v>
      </c>
      <c r="E54" s="6" t="s">
        <v>216</v>
      </c>
      <c r="F54" s="6" t="s">
        <v>136</v>
      </c>
      <c r="G54" s="6" t="s">
        <v>216</v>
      </c>
      <c r="H54" s="6" t="s">
        <v>198</v>
      </c>
      <c r="I54" s="6" t="s">
        <v>216</v>
      </c>
      <c r="J54" s="6">
        <v>10</v>
      </c>
      <c r="K54" s="6">
        <v>11</v>
      </c>
      <c r="L54" s="6">
        <v>50</v>
      </c>
      <c r="M54" s="6">
        <v>51</v>
      </c>
      <c r="N54" s="6">
        <v>60</v>
      </c>
      <c r="O54" s="6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zoomScale="85" zoomScaleNormal="85" workbookViewId="0">
      <selection activeCell="B31" sqref="B31"/>
    </sheetView>
  </sheetViews>
  <sheetFormatPr baseColWidth="10" defaultColWidth="9.140625" defaultRowHeight="12.75" x14ac:dyDescent="0.2"/>
  <cols>
    <col min="1" max="1" width="27.42578125" style="1" customWidth="1"/>
    <col min="2" max="2" width="44.7109375" style="1" customWidth="1"/>
    <col min="3" max="3" width="14.7109375" style="1" bestFit="1" customWidth="1"/>
    <col min="4" max="4" width="24.140625" style="1" bestFit="1" customWidth="1"/>
    <col min="5" max="5" width="14.5703125" style="1" bestFit="1" customWidth="1"/>
    <col min="6" max="6" width="20" style="1" bestFit="1" customWidth="1"/>
    <col min="7" max="7" width="30.7109375" style="1" customWidth="1"/>
    <col min="8" max="8" width="19.28515625" style="1" customWidth="1"/>
    <col min="9" max="9" width="26.42578125" style="1" customWidth="1"/>
    <col min="10" max="10" width="25.85546875" style="1" customWidth="1"/>
    <col min="11" max="17" width="9.42578125" style="1" bestFit="1" customWidth="1"/>
    <col min="18" max="18" width="12.42578125" style="1" bestFit="1" customWidth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x14ac:dyDescent="0.2">
      <c r="E2" s="1" t="s">
        <v>88</v>
      </c>
      <c r="F2" s="1" t="s">
        <v>84</v>
      </c>
      <c r="S2" s="1"/>
      <c r="T2" s="1"/>
    </row>
    <row r="3" spans="1:20" x14ac:dyDescent="0.2">
      <c r="E3" s="1" t="s">
        <v>88</v>
      </c>
      <c r="F3" s="1" t="s">
        <v>85</v>
      </c>
      <c r="S3" s="1"/>
      <c r="T3" s="1"/>
    </row>
    <row r="4" spans="1:20" x14ac:dyDescent="0.2">
      <c r="E4" s="1" t="s">
        <v>88</v>
      </c>
      <c r="F4" s="1" t="s">
        <v>86</v>
      </c>
      <c r="S4" s="1"/>
      <c r="T4" s="1"/>
    </row>
    <row r="5" spans="1:20" x14ac:dyDescent="0.2">
      <c r="E5" s="1" t="s">
        <v>88</v>
      </c>
      <c r="F5" s="1" t="s">
        <v>87</v>
      </c>
      <c r="S5" s="1"/>
      <c r="T5" s="1"/>
    </row>
    <row r="6" spans="1:20" x14ac:dyDescent="0.2">
      <c r="E6" s="1" t="s">
        <v>89</v>
      </c>
      <c r="F6" s="1" t="s">
        <v>84</v>
      </c>
      <c r="S6" s="1"/>
      <c r="T6" s="1"/>
    </row>
    <row r="7" spans="1:20" x14ac:dyDescent="0.2">
      <c r="E7" s="1" t="s">
        <v>89</v>
      </c>
      <c r="F7" s="1" t="s">
        <v>85</v>
      </c>
      <c r="S7" s="1"/>
      <c r="T7" s="1"/>
    </row>
    <row r="8" spans="1:20" x14ac:dyDescent="0.2">
      <c r="E8" s="1" t="s">
        <v>89</v>
      </c>
      <c r="F8" s="1" t="s">
        <v>86</v>
      </c>
      <c r="S8" s="1"/>
      <c r="T8" s="1"/>
    </row>
    <row r="9" spans="1:20" x14ac:dyDescent="0.2">
      <c r="E9" s="1" t="s">
        <v>89</v>
      </c>
      <c r="F9" s="1" t="s">
        <v>87</v>
      </c>
      <c r="S9" s="1"/>
      <c r="T9" s="1"/>
    </row>
    <row r="10" spans="1:20" x14ac:dyDescent="0.2">
      <c r="E10" s="1" t="s">
        <v>90</v>
      </c>
      <c r="F10" s="1" t="s">
        <v>84</v>
      </c>
      <c r="S10" s="1"/>
      <c r="T10" s="1"/>
    </row>
    <row r="11" spans="1:20" x14ac:dyDescent="0.2">
      <c r="E11" s="1" t="s">
        <v>90</v>
      </c>
      <c r="F11" s="1" t="s">
        <v>85</v>
      </c>
      <c r="S11" s="1"/>
      <c r="T11" s="1"/>
    </row>
    <row r="12" spans="1:20" x14ac:dyDescent="0.2">
      <c r="E12" s="1" t="s">
        <v>90</v>
      </c>
      <c r="F12" s="1" t="s">
        <v>86</v>
      </c>
      <c r="S12" s="1"/>
      <c r="T12" s="1"/>
    </row>
    <row r="13" spans="1:20" x14ac:dyDescent="0.2">
      <c r="E13" s="1" t="s">
        <v>90</v>
      </c>
      <c r="F13" s="1" t="s">
        <v>87</v>
      </c>
      <c r="S13" s="1"/>
      <c r="T13" s="1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  <row r="19" spans="19:20" x14ac:dyDescent="0.2">
      <c r="S19" s="1"/>
      <c r="T19" s="1"/>
    </row>
    <row r="20" spans="19:20" x14ac:dyDescent="0.2">
      <c r="S20" s="1"/>
      <c r="T2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2.40"/>
          <labelControl id="_SiAT_versionDate" label="(c) 22.03.2019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Pfanne</dc:creator>
  <cp:keywords>C_Unrestricted</cp:keywords>
  <cp:lastModifiedBy>Pfanne</cp:lastModifiedBy>
  <dcterms:created xsi:type="dcterms:W3CDTF">2016-11-21T12:16:59Z</dcterms:created>
  <dcterms:modified xsi:type="dcterms:W3CDTF">2022-01-20T18:23:04Z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</Properties>
</file>