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fanne-NET\HomeControl\Code\Python\104-CMC-Mapper\CMC-104_Mapper\SITIPE\"/>
    </mc:Choice>
  </mc:AlternateContent>
  <bookViews>
    <workbookView xWindow="0" yWindow="0" windowWidth="25815" windowHeight="9780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</workbook>
</file>

<file path=xl/calcChain.xml><?xml version="1.0" encoding="utf-8"?>
<calcChain xmlns="http://schemas.openxmlformats.org/spreadsheetml/2006/main">
  <c r="J37" i="7" l="1"/>
  <c r="I37" i="7"/>
  <c r="H37" i="7"/>
  <c r="F37" i="7"/>
  <c r="M29" i="7" l="1"/>
  <c r="M28" i="7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H28" i="7"/>
  <c r="H30" i="7" s="1"/>
  <c r="C28" i="7"/>
  <c r="K27" i="7"/>
  <c r="K28" i="7" s="1"/>
  <c r="K30" i="7" s="1"/>
  <c r="J27" i="7"/>
  <c r="J28" i="7" s="1"/>
  <c r="J30" i="7" s="1"/>
  <c r="I27" i="7"/>
  <c r="H27" i="7"/>
  <c r="H29" i="7" s="1"/>
  <c r="F27" i="7"/>
  <c r="F28" i="7" s="1"/>
  <c r="F30" i="7" s="1"/>
  <c r="I25" i="7"/>
  <c r="H25" i="7"/>
  <c r="M24" i="7"/>
  <c r="M25" i="7" s="1"/>
  <c r="I24" i="7"/>
  <c r="H24" i="7"/>
  <c r="C24" i="7"/>
  <c r="C25" i="7" s="1"/>
  <c r="K23" i="7"/>
  <c r="K24" i="7" s="1"/>
  <c r="J23" i="7"/>
  <c r="J24" i="7" s="1"/>
  <c r="I23" i="7"/>
  <c r="H23" i="7"/>
  <c r="F23" i="7"/>
  <c r="F24" i="7" s="1"/>
  <c r="M22" i="7"/>
  <c r="M21" i="7"/>
  <c r="C22" i="7"/>
  <c r="C21" i="7"/>
  <c r="C19" i="7"/>
  <c r="C18" i="7"/>
  <c r="I22" i="7"/>
  <c r="H22" i="7"/>
  <c r="I21" i="7"/>
  <c r="K20" i="7"/>
  <c r="K22" i="7" s="1"/>
  <c r="J20" i="7"/>
  <c r="J22" i="7" s="1"/>
  <c r="I20" i="7"/>
  <c r="H20" i="7"/>
  <c r="H21" i="7" s="1"/>
  <c r="F20" i="7"/>
  <c r="F22" i="7" s="1"/>
  <c r="K18" i="7"/>
  <c r="J18" i="7"/>
  <c r="H18" i="7"/>
  <c r="F18" i="7"/>
  <c r="K19" i="7"/>
  <c r="J19" i="7"/>
  <c r="I19" i="7"/>
  <c r="H19" i="7"/>
  <c r="F19" i="7"/>
  <c r="I18" i="7"/>
  <c r="K17" i="7"/>
  <c r="J17" i="7"/>
  <c r="I17" i="7"/>
  <c r="H17" i="7"/>
  <c r="F17" i="7"/>
  <c r="J31" i="7" l="1"/>
  <c r="J33" i="7" s="1"/>
  <c r="J32" i="7"/>
  <c r="F32" i="7"/>
  <c r="F31" i="7"/>
  <c r="F33" i="7" s="1"/>
  <c r="K32" i="7"/>
  <c r="K31" i="7"/>
  <c r="K33" i="7" s="1"/>
  <c r="H31" i="7"/>
  <c r="H33" i="7" s="1"/>
  <c r="H32" i="7"/>
  <c r="J29" i="7"/>
  <c r="F29" i="7"/>
  <c r="K29" i="7"/>
  <c r="J25" i="7"/>
  <c r="F25" i="7"/>
  <c r="K25" i="7"/>
  <c r="J21" i="7"/>
  <c r="F21" i="7"/>
  <c r="K21" i="7"/>
  <c r="G15" i="7"/>
  <c r="I15" i="7" s="1"/>
  <c r="F34" i="7" l="1"/>
  <c r="F35" i="7"/>
  <c r="H35" i="7"/>
  <c r="H34" i="7"/>
  <c r="K34" i="7"/>
  <c r="K35" i="7"/>
  <c r="J34" i="7"/>
  <c r="J35" i="7"/>
</calcChain>
</file>

<file path=xl/sharedStrings.xml><?xml version="1.0" encoding="utf-8"?>
<sst xmlns="http://schemas.openxmlformats.org/spreadsheetml/2006/main" count="437" uniqueCount="246">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</sst>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40" totalsRowShown="0" headerRowDxfId="54" dataDxfId="53">
  <autoFilter ref="A1:AE40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20" totalsRowShown="0" headerRowDxfId="21" dataDxfId="20"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zoomScale="90" workbookViewId="0">
      <selection activeCell="D22" sqref="D2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54"/>
  <sheetViews>
    <sheetView tabSelected="1" zoomScaleNormal="100" workbookViewId="0">
      <selection activeCell="P38" sqref="P38"/>
    </sheetView>
  </sheetViews>
  <sheetFormatPr baseColWidth="10" defaultColWidth="9.140625" defaultRowHeight="12.75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x14ac:dyDescent="0.2">
      <c r="F2" s="6" t="s">
        <v>32</v>
      </c>
      <c r="G2" s="6" t="s">
        <v>31</v>
      </c>
      <c r="H2" s="6" t="s">
        <v>76</v>
      </c>
      <c r="I2" s="6" t="s">
        <v>99</v>
      </c>
      <c r="J2" s="6" t="s">
        <v>100</v>
      </c>
      <c r="K2" s="6" t="s">
        <v>77</v>
      </c>
      <c r="L2" s="6" t="s">
        <v>101</v>
      </c>
      <c r="M2" s="6" t="s">
        <v>102</v>
      </c>
      <c r="N2" s="6" t="s">
        <v>78</v>
      </c>
      <c r="O2" s="6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x14ac:dyDescent="0.2">
      <c r="F3" s="6" t="s">
        <v>42</v>
      </c>
      <c r="G3" s="6" t="s">
        <v>74</v>
      </c>
      <c r="H3" s="6" t="s">
        <v>31</v>
      </c>
      <c r="I3" s="6" t="s">
        <v>94</v>
      </c>
      <c r="J3" s="6" t="s">
        <v>75</v>
      </c>
      <c r="K3" s="6" t="s">
        <v>107</v>
      </c>
      <c r="L3" s="6" t="s">
        <v>108</v>
      </c>
    </row>
    <row r="4" spans="1:3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6" t="s">
        <v>166</v>
      </c>
      <c r="K4" s="6" t="s">
        <v>167</v>
      </c>
      <c r="L4" s="6" t="s">
        <v>168</v>
      </c>
      <c r="M4" s="6" t="s">
        <v>169</v>
      </c>
      <c r="N4" s="6" t="s">
        <v>170</v>
      </c>
      <c r="O4" s="6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x14ac:dyDescent="0.2">
      <c r="F5" s="6" t="s">
        <v>135</v>
      </c>
      <c r="G5" s="6" t="s">
        <v>74</v>
      </c>
      <c r="H5" s="6" t="s">
        <v>13</v>
      </c>
      <c r="I5" s="6" t="s">
        <v>94</v>
      </c>
      <c r="J5" s="6" t="s">
        <v>16</v>
      </c>
      <c r="K5" s="6" t="s">
        <v>17</v>
      </c>
      <c r="L5" s="6" t="s">
        <v>19</v>
      </c>
      <c r="M5" s="6" t="s">
        <v>21</v>
      </c>
      <c r="N5" s="6" t="s">
        <v>23</v>
      </c>
      <c r="O5" s="6" t="s">
        <v>154</v>
      </c>
      <c r="P5" s="6" t="s">
        <v>163</v>
      </c>
      <c r="Q5" s="6" t="s">
        <v>152</v>
      </c>
    </row>
    <row r="6" spans="1:31" x14ac:dyDescent="0.2">
      <c r="F6" s="6" t="s">
        <v>136</v>
      </c>
      <c r="G6" s="6" t="s">
        <v>74</v>
      </c>
      <c r="H6" s="6" t="s">
        <v>13</v>
      </c>
      <c r="I6" s="6" t="s">
        <v>94</v>
      </c>
      <c r="J6" s="6" t="s">
        <v>16</v>
      </c>
      <c r="K6" s="6" t="s">
        <v>17</v>
      </c>
      <c r="L6" s="6" t="s">
        <v>19</v>
      </c>
      <c r="M6" s="6" t="s">
        <v>21</v>
      </c>
      <c r="N6" s="6" t="s">
        <v>23</v>
      </c>
      <c r="O6" s="6" t="s">
        <v>154</v>
      </c>
      <c r="P6" s="6" t="s">
        <v>163</v>
      </c>
      <c r="Q6" s="6" t="s">
        <v>152</v>
      </c>
    </row>
    <row r="7" spans="1:31" x14ac:dyDescent="0.2">
      <c r="F7" s="6" t="s">
        <v>148</v>
      </c>
      <c r="G7" s="6" t="s">
        <v>74</v>
      </c>
      <c r="H7" s="6" t="s">
        <v>13</v>
      </c>
      <c r="I7" s="6" t="s">
        <v>94</v>
      </c>
      <c r="J7" s="6" t="s">
        <v>149</v>
      </c>
      <c r="K7" s="6" t="s">
        <v>150</v>
      </c>
      <c r="L7" s="6" t="s">
        <v>151</v>
      </c>
      <c r="M7" s="6" t="s">
        <v>152</v>
      </c>
      <c r="N7" s="6" t="s">
        <v>153</v>
      </c>
    </row>
    <row r="8" spans="1:31" x14ac:dyDescent="0.2">
      <c r="F8" s="6" t="s">
        <v>193</v>
      </c>
      <c r="G8" s="6" t="s">
        <v>74</v>
      </c>
      <c r="H8" s="6" t="s">
        <v>13</v>
      </c>
      <c r="I8" s="6" t="s">
        <v>94</v>
      </c>
      <c r="J8" s="6" t="s">
        <v>149</v>
      </c>
      <c r="K8" s="6" t="s">
        <v>196</v>
      </c>
      <c r="L8" s="6" t="s">
        <v>194</v>
      </c>
    </row>
    <row r="9" spans="1:31" x14ac:dyDescent="0.2">
      <c r="F9" s="6" t="s">
        <v>158</v>
      </c>
      <c r="G9" s="6" t="s">
        <v>74</v>
      </c>
      <c r="H9" s="6" t="s">
        <v>13</v>
      </c>
      <c r="I9" s="6" t="s">
        <v>94</v>
      </c>
      <c r="J9" s="6" t="s">
        <v>159</v>
      </c>
      <c r="K9" s="6" t="s">
        <v>161</v>
      </c>
    </row>
    <row r="10" spans="1:3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6" t="s">
        <v>46</v>
      </c>
      <c r="K10" s="6" t="s">
        <v>47</v>
      </c>
      <c r="L10" s="6" t="s">
        <v>48</v>
      </c>
      <c r="M10" s="6" t="s">
        <v>49</v>
      </c>
      <c r="N10" s="6" t="s">
        <v>50</v>
      </c>
      <c r="O10" s="6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6" t="s">
        <v>64</v>
      </c>
      <c r="K11" s="6" t="s">
        <v>65</v>
      </c>
      <c r="L11" s="6" t="s">
        <v>66</v>
      </c>
      <c r="M11" s="6" t="s">
        <v>67</v>
      </c>
      <c r="N11" s="6" t="s">
        <v>68</v>
      </c>
      <c r="O11" s="6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6" t="s">
        <v>125</v>
      </c>
      <c r="K12" s="6" t="s">
        <v>126</v>
      </c>
      <c r="L12" s="6" t="s">
        <v>127</v>
      </c>
      <c r="M12" s="6" t="s">
        <v>128</v>
      </c>
      <c r="N12" s="6" t="s">
        <v>129</v>
      </c>
      <c r="O12" s="6" t="s">
        <v>130</v>
      </c>
      <c r="P12" s="6" t="s">
        <v>131</v>
      </c>
      <c r="Q12" s="6" t="s">
        <v>132</v>
      </c>
    </row>
    <row r="14" spans="1:31" x14ac:dyDescent="0.2"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1" x14ac:dyDescent="0.2">
      <c r="J16" s="8"/>
      <c r="K16" s="8"/>
      <c r="L16" s="8"/>
      <c r="M16" s="8"/>
      <c r="N16" s="8"/>
      <c r="O16" s="8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8">
        <f>J15</f>
        <v>100</v>
      </c>
      <c r="K17" s="8">
        <f>K15</f>
        <v>1</v>
      </c>
      <c r="L17" s="8">
        <v>1</v>
      </c>
      <c r="M17" s="8">
        <v>1</v>
      </c>
      <c r="N17" s="8">
        <v>1</v>
      </c>
      <c r="O17" s="8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8">
        <f>J17</f>
        <v>100</v>
      </c>
      <c r="K18" s="8">
        <f>K17</f>
        <v>1</v>
      </c>
      <c r="L18" s="8">
        <v>1</v>
      </c>
      <c r="M18" s="8">
        <v>1</v>
      </c>
      <c r="N18" s="8">
        <v>2</v>
      </c>
      <c r="O18" s="8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8">
        <f>J17</f>
        <v>100</v>
      </c>
      <c r="K19" s="8">
        <f>K17</f>
        <v>1</v>
      </c>
      <c r="L19" s="8">
        <v>1</v>
      </c>
      <c r="M19" s="8">
        <v>1</v>
      </c>
      <c r="N19" s="8">
        <v>3</v>
      </c>
      <c r="O19" s="8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8">
        <f>J18</f>
        <v>100</v>
      </c>
      <c r="K20" s="8">
        <f>K18</f>
        <v>1</v>
      </c>
      <c r="L20" s="8">
        <v>1</v>
      </c>
      <c r="M20" s="8">
        <v>2</v>
      </c>
      <c r="N20" s="8">
        <v>1</v>
      </c>
      <c r="O20" s="8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8">
        <f>J20</f>
        <v>100</v>
      </c>
      <c r="K21" s="8">
        <f>K20</f>
        <v>1</v>
      </c>
      <c r="L21" s="8">
        <v>1</v>
      </c>
      <c r="M21" s="8">
        <f>M20</f>
        <v>2</v>
      </c>
      <c r="N21" s="8">
        <v>2</v>
      </c>
      <c r="O21" s="8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8">
        <f>J20</f>
        <v>100</v>
      </c>
      <c r="K22" s="8">
        <f>K20</f>
        <v>1</v>
      </c>
      <c r="L22" s="8">
        <v>1</v>
      </c>
      <c r="M22" s="8">
        <f>M21</f>
        <v>2</v>
      </c>
      <c r="N22" s="8">
        <v>3</v>
      </c>
      <c r="O22" s="8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8">
        <f>J21</f>
        <v>100</v>
      </c>
      <c r="K23" s="8">
        <f>K21</f>
        <v>1</v>
      </c>
      <c r="L23" s="8">
        <v>1</v>
      </c>
      <c r="M23" s="8">
        <v>3</v>
      </c>
      <c r="N23" s="8">
        <v>1</v>
      </c>
      <c r="O23" s="8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8">
        <f>J23</f>
        <v>100</v>
      </c>
      <c r="K24" s="8">
        <f>K23</f>
        <v>1</v>
      </c>
      <c r="L24" s="8">
        <v>1</v>
      </c>
      <c r="M24" s="8">
        <f>M23</f>
        <v>3</v>
      </c>
      <c r="N24" s="8">
        <v>2</v>
      </c>
      <c r="O24" s="8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8">
        <f>J23</f>
        <v>100</v>
      </c>
      <c r="K25" s="8">
        <f>K23</f>
        <v>1</v>
      </c>
      <c r="L25" s="8">
        <v>1</v>
      </c>
      <c r="M25" s="8">
        <f>M24</f>
        <v>3</v>
      </c>
      <c r="N25" s="8">
        <v>3</v>
      </c>
      <c r="O25" s="8">
        <v>50</v>
      </c>
    </row>
    <row r="26" spans="1:15" x14ac:dyDescent="0.2">
      <c r="J26" s="8"/>
      <c r="K26" s="8"/>
      <c r="L26" s="8"/>
      <c r="M26" s="8"/>
      <c r="N26" s="8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8">
        <f>J25</f>
        <v>100</v>
      </c>
      <c r="K27" s="8">
        <f>K25</f>
        <v>1</v>
      </c>
      <c r="L27" s="8">
        <v>1</v>
      </c>
      <c r="M27" s="8">
        <v>4</v>
      </c>
      <c r="N27" s="8">
        <v>1</v>
      </c>
      <c r="O27" s="8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8">
        <f>J27</f>
        <v>100</v>
      </c>
      <c r="K28" s="8">
        <f>K27</f>
        <v>1</v>
      </c>
      <c r="L28" s="8">
        <v>1</v>
      </c>
      <c r="M28" s="8">
        <f>M27</f>
        <v>4</v>
      </c>
      <c r="N28" s="8">
        <v>2</v>
      </c>
      <c r="O28" s="8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8">
        <f>J27</f>
        <v>100</v>
      </c>
      <c r="K29" s="8">
        <f>K27</f>
        <v>1</v>
      </c>
      <c r="L29" s="8">
        <v>1</v>
      </c>
      <c r="M29" s="8">
        <f>M28</f>
        <v>4</v>
      </c>
      <c r="N29" s="8">
        <v>3</v>
      </c>
      <c r="O29" s="8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8">
        <f>J28</f>
        <v>100</v>
      </c>
      <c r="K30" s="8">
        <f>K28</f>
        <v>1</v>
      </c>
      <c r="L30" s="8">
        <v>1</v>
      </c>
      <c r="M30" s="8">
        <v>5</v>
      </c>
      <c r="N30" s="8">
        <v>1</v>
      </c>
      <c r="O30" s="8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8">
        <f>J30</f>
        <v>100</v>
      </c>
      <c r="K31" s="8">
        <f>K30</f>
        <v>1</v>
      </c>
      <c r="L31" s="8">
        <v>1</v>
      </c>
      <c r="M31" s="8">
        <f>M30</f>
        <v>5</v>
      </c>
      <c r="N31" s="8">
        <v>2</v>
      </c>
      <c r="O31" s="8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8">
        <f>J30</f>
        <v>100</v>
      </c>
      <c r="K32" s="8">
        <f>K30</f>
        <v>1</v>
      </c>
      <c r="L32" s="8">
        <v>1</v>
      </c>
      <c r="M32" s="8">
        <f>M31</f>
        <v>5</v>
      </c>
      <c r="N32" s="8">
        <v>3</v>
      </c>
      <c r="O32" s="8">
        <v>50</v>
      </c>
    </row>
    <row r="33" spans="1:15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8">
        <f>J31</f>
        <v>100</v>
      </c>
      <c r="K33" s="8">
        <f>K31</f>
        <v>1</v>
      </c>
      <c r="L33" s="8">
        <v>1</v>
      </c>
      <c r="M33" s="8">
        <v>6</v>
      </c>
      <c r="N33" s="8">
        <v>1</v>
      </c>
      <c r="O33" s="8">
        <v>50</v>
      </c>
    </row>
    <row r="34" spans="1:15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8">
        <f>J33</f>
        <v>100</v>
      </c>
      <c r="K34" s="8">
        <f>K33</f>
        <v>1</v>
      </c>
      <c r="L34" s="8">
        <v>1</v>
      </c>
      <c r="M34" s="8">
        <f>M33</f>
        <v>6</v>
      </c>
      <c r="N34" s="8">
        <v>2</v>
      </c>
      <c r="O34" s="8">
        <v>50</v>
      </c>
    </row>
    <row r="35" spans="1:15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8">
        <f>J33</f>
        <v>100</v>
      </c>
      <c r="K35" s="8">
        <f>K33</f>
        <v>1</v>
      </c>
      <c r="L35" s="8">
        <v>1</v>
      </c>
      <c r="M35" s="8">
        <f>M34</f>
        <v>6</v>
      </c>
      <c r="N35" s="8">
        <v>3</v>
      </c>
      <c r="O35" s="8">
        <v>50</v>
      </c>
    </row>
    <row r="36" spans="1:15" x14ac:dyDescent="0.2">
      <c r="J36" s="8"/>
      <c r="K36" s="8"/>
      <c r="L36" s="8"/>
      <c r="M36" s="8"/>
      <c r="N36" s="8"/>
      <c r="O36" s="8"/>
    </row>
    <row r="37" spans="1:15" x14ac:dyDescent="0.2">
      <c r="A37" s="6" t="s">
        <v>202</v>
      </c>
      <c r="B37" s="6" t="s">
        <v>221</v>
      </c>
      <c r="E37" s="6" t="s">
        <v>245</v>
      </c>
      <c r="F37" s="6" t="str">
        <f>F34</f>
        <v>-104 Telegram</v>
      </c>
      <c r="G37" s="6" t="s">
        <v>221</v>
      </c>
      <c r="H37" s="6" t="str">
        <f>H34</f>
        <v>CMC_104</v>
      </c>
      <c r="I37" s="6" t="str">
        <f>TestObjects[[#This Row],[Objectname]]</f>
        <v>reset</v>
      </c>
      <c r="J37" s="8">
        <f>J34</f>
        <v>100</v>
      </c>
      <c r="K37" s="8">
        <v>1</v>
      </c>
      <c r="L37" s="8">
        <v>99</v>
      </c>
      <c r="M37" s="8">
        <v>0</v>
      </c>
      <c r="N37" s="8">
        <v>0</v>
      </c>
      <c r="O37" s="8">
        <v>50</v>
      </c>
    </row>
    <row r="38" spans="1:15" x14ac:dyDescent="0.2">
      <c r="J38" s="7"/>
      <c r="K38" s="7"/>
      <c r="L38" s="7"/>
      <c r="M38" s="7"/>
      <c r="N38" s="7"/>
      <c r="O38" s="7"/>
    </row>
    <row r="44" spans="1:15" x14ac:dyDescent="0.2">
      <c r="A44" s="6" t="s">
        <v>202</v>
      </c>
      <c r="B44" s="6" t="s">
        <v>203</v>
      </c>
      <c r="E44" s="6" t="s">
        <v>204</v>
      </c>
      <c r="F44" s="6" t="s">
        <v>136</v>
      </c>
      <c r="G44" s="6" t="s">
        <v>204</v>
      </c>
      <c r="H44" s="6" t="s">
        <v>198</v>
      </c>
      <c r="I44" s="6" t="s">
        <v>204</v>
      </c>
      <c r="J44" s="6">
        <v>100</v>
      </c>
      <c r="K44" s="6">
        <v>1</v>
      </c>
      <c r="L44" s="6">
        <v>2</v>
      </c>
      <c r="M44" s="6">
        <v>0</v>
      </c>
      <c r="N44" s="6">
        <v>0</v>
      </c>
      <c r="O44" s="6" t="s">
        <v>209</v>
      </c>
    </row>
    <row r="45" spans="1:15" x14ac:dyDescent="0.2">
      <c r="A45" s="6" t="s">
        <v>202</v>
      </c>
      <c r="B45" s="6" t="s">
        <v>203</v>
      </c>
      <c r="E45" s="6" t="s">
        <v>210</v>
      </c>
      <c r="F45" s="6" t="s">
        <v>136</v>
      </c>
      <c r="G45" s="6" t="s">
        <v>210</v>
      </c>
      <c r="H45" s="6" t="s">
        <v>198</v>
      </c>
      <c r="I45" s="6" t="s">
        <v>210</v>
      </c>
      <c r="J45" s="6">
        <v>100</v>
      </c>
      <c r="K45" s="6">
        <v>1</v>
      </c>
      <c r="L45" s="6">
        <v>3</v>
      </c>
      <c r="M45" s="6">
        <v>0</v>
      </c>
      <c r="N45" s="6">
        <v>0</v>
      </c>
      <c r="O45" s="6">
        <v>47</v>
      </c>
    </row>
    <row r="46" spans="1:15" x14ac:dyDescent="0.2">
      <c r="A46" s="6" t="s">
        <v>202</v>
      </c>
      <c r="B46" s="6" t="s">
        <v>203</v>
      </c>
      <c r="E46" s="6" t="s">
        <v>211</v>
      </c>
      <c r="F46" s="6" t="s">
        <v>136</v>
      </c>
      <c r="G46" s="6" t="s">
        <v>211</v>
      </c>
      <c r="H46" s="6" t="s">
        <v>198</v>
      </c>
      <c r="I46" s="6" t="s">
        <v>211</v>
      </c>
      <c r="J46" s="6">
        <v>100</v>
      </c>
      <c r="K46" s="6">
        <v>1</v>
      </c>
      <c r="L46" s="6">
        <v>4</v>
      </c>
      <c r="M46" s="6">
        <v>0</v>
      </c>
      <c r="N46" s="6">
        <v>0</v>
      </c>
      <c r="O46" s="6">
        <v>48</v>
      </c>
    </row>
    <row r="47" spans="1:15" x14ac:dyDescent="0.2">
      <c r="A47" s="6" t="s">
        <v>202</v>
      </c>
      <c r="B47" s="6" t="s">
        <v>203</v>
      </c>
      <c r="E47" s="6" t="s">
        <v>212</v>
      </c>
      <c r="F47" s="6" t="s">
        <v>136</v>
      </c>
      <c r="G47" s="6" t="s">
        <v>212</v>
      </c>
      <c r="H47" s="6" t="s">
        <v>198</v>
      </c>
      <c r="I47" s="6" t="s">
        <v>212</v>
      </c>
      <c r="J47" s="6">
        <v>100</v>
      </c>
      <c r="K47" s="6">
        <v>1</v>
      </c>
      <c r="L47" s="6">
        <v>5</v>
      </c>
      <c r="M47" s="6">
        <v>0</v>
      </c>
      <c r="N47" s="6">
        <v>0</v>
      </c>
      <c r="O47" s="6">
        <v>49</v>
      </c>
    </row>
    <row r="48" spans="1:15" x14ac:dyDescent="0.2">
      <c r="A48" s="6" t="s">
        <v>202</v>
      </c>
      <c r="B48" s="6" t="s">
        <v>203</v>
      </c>
      <c r="E48" s="6" t="s">
        <v>213</v>
      </c>
      <c r="F48" s="6" t="s">
        <v>136</v>
      </c>
      <c r="G48" s="6" t="s">
        <v>213</v>
      </c>
      <c r="H48" s="6" t="s">
        <v>198</v>
      </c>
      <c r="I48" s="6" t="s">
        <v>213</v>
      </c>
      <c r="J48" s="6">
        <v>100</v>
      </c>
      <c r="K48" s="6">
        <v>1</v>
      </c>
      <c r="L48" s="6">
        <v>6</v>
      </c>
      <c r="M48" s="6">
        <v>0</v>
      </c>
      <c r="N48" s="6">
        <v>0</v>
      </c>
      <c r="O48" s="6">
        <v>50</v>
      </c>
    </row>
    <row r="49" spans="1:15" x14ac:dyDescent="0.2">
      <c r="A49" s="6" t="s">
        <v>202</v>
      </c>
      <c r="B49" s="6" t="s">
        <v>203</v>
      </c>
      <c r="E49" s="6" t="s">
        <v>214</v>
      </c>
      <c r="F49" s="6" t="s">
        <v>136</v>
      </c>
      <c r="G49" s="6" t="s">
        <v>214</v>
      </c>
      <c r="H49" s="6" t="s">
        <v>198</v>
      </c>
      <c r="I49" s="6" t="s">
        <v>214</v>
      </c>
      <c r="J49" s="6">
        <v>100</v>
      </c>
      <c r="K49" s="6">
        <v>1</v>
      </c>
      <c r="L49" s="6">
        <v>7</v>
      </c>
      <c r="M49" s="6">
        <v>0</v>
      </c>
      <c r="N49" s="6">
        <v>0</v>
      </c>
      <c r="O49" s="6">
        <v>51</v>
      </c>
    </row>
    <row r="51" spans="1:15" x14ac:dyDescent="0.2">
      <c r="A51" s="6" t="s">
        <v>202</v>
      </c>
      <c r="B51" s="6" t="s">
        <v>203</v>
      </c>
      <c r="E51" s="6" t="s">
        <v>215</v>
      </c>
      <c r="F51" s="6" t="s">
        <v>136</v>
      </c>
      <c r="G51" s="6" t="s">
        <v>215</v>
      </c>
      <c r="H51" s="6" t="s">
        <v>198</v>
      </c>
      <c r="I51" s="6" t="s">
        <v>215</v>
      </c>
      <c r="J51" s="6" t="s">
        <v>205</v>
      </c>
      <c r="K51" s="6" t="s">
        <v>206</v>
      </c>
      <c r="L51" s="6" t="s">
        <v>207</v>
      </c>
      <c r="M51" s="6" t="s">
        <v>208</v>
      </c>
      <c r="N51" s="6">
        <v>59</v>
      </c>
      <c r="O51" s="6">
        <v>58</v>
      </c>
    </row>
    <row r="54" spans="1:15" x14ac:dyDescent="0.2">
      <c r="A54" s="6" t="s">
        <v>202</v>
      </c>
      <c r="B54" s="6" t="s">
        <v>203</v>
      </c>
      <c r="E54" s="6" t="s">
        <v>216</v>
      </c>
      <c r="F54" s="6" t="s">
        <v>136</v>
      </c>
      <c r="G54" s="6" t="s">
        <v>216</v>
      </c>
      <c r="H54" s="6" t="s">
        <v>198</v>
      </c>
      <c r="I54" s="6" t="s">
        <v>216</v>
      </c>
      <c r="J54" s="6">
        <v>10</v>
      </c>
      <c r="K54" s="6">
        <v>11</v>
      </c>
      <c r="L54" s="6">
        <v>50</v>
      </c>
      <c r="M54" s="6">
        <v>51</v>
      </c>
      <c r="N54" s="6">
        <v>60</v>
      </c>
      <c r="O54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Pfanne</cp:lastModifiedBy>
  <dcterms:created xsi:type="dcterms:W3CDTF">2016-11-21T12:16:59Z</dcterms:created>
  <dcterms:modified xsi:type="dcterms:W3CDTF">2022-01-20T20:23:53Z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