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Kas00\dev\CMC-104_Mapper\SITIPE\"/>
    </mc:Choice>
  </mc:AlternateContent>
  <xr:revisionPtr revIDLastSave="0" documentId="13_ncr:1_{6788952C-04A0-41E9-8AE1-B8F97068B30F}" xr6:coauthVersionLast="47" xr6:coauthVersionMax="47" xr10:uidLastSave="{00000000-0000-0000-0000-000000000000}"/>
  <bookViews>
    <workbookView xWindow="-120" yWindow="-120" windowWidth="77040" windowHeight="21840" tabRatio="530" activeTab="2" xr2:uid="{00000000-000D-0000-FFFF-FFFF00000000}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definedNames>
    <definedName name="ProjectName">'Project Information'!$B$1</definedName>
    <definedName name="TesterName">'Project Information'!$B$2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7" l="1"/>
  <c r="G16" i="7"/>
  <c r="J36" i="7"/>
  <c r="J38" i="7" s="1"/>
  <c r="J40" i="7" s="1"/>
  <c r="K36" i="7"/>
  <c r="K38" i="7" s="1"/>
  <c r="K40" i="7" l="1"/>
  <c r="K42" i="7" s="1"/>
  <c r="K44" i="7" s="1"/>
  <c r="K46" i="7" s="1"/>
  <c r="K48" i="7" s="1"/>
  <c r="K50" i="7" s="1"/>
  <c r="K52" i="7" s="1"/>
  <c r="J42" i="7"/>
  <c r="I54" i="7"/>
  <c r="J44" i="7" l="1"/>
  <c r="M37" i="7"/>
  <c r="I51" i="7"/>
  <c r="M49" i="7"/>
  <c r="I49" i="7"/>
  <c r="C49" i="7"/>
  <c r="C51" i="7" s="1"/>
  <c r="I47" i="7"/>
  <c r="I45" i="7"/>
  <c r="M43" i="7"/>
  <c r="I43" i="7"/>
  <c r="C43" i="7"/>
  <c r="C45" i="7" s="1"/>
  <c r="I41" i="7"/>
  <c r="I39" i="7"/>
  <c r="C39" i="7"/>
  <c r="I37" i="7"/>
  <c r="C37" i="7"/>
  <c r="I35" i="7"/>
  <c r="I33" i="7"/>
  <c r="M31" i="7"/>
  <c r="I31" i="7"/>
  <c r="C31" i="7"/>
  <c r="I29" i="7"/>
  <c r="M25" i="7"/>
  <c r="C25" i="7"/>
  <c r="C21" i="7"/>
  <c r="C19" i="7"/>
  <c r="I27" i="7"/>
  <c r="I25" i="7"/>
  <c r="I23" i="7"/>
  <c r="I21" i="7"/>
  <c r="I19" i="7"/>
  <c r="K17" i="7"/>
  <c r="K19" i="7" s="1"/>
  <c r="K23" i="7" s="1"/>
  <c r="K27" i="7" s="1"/>
  <c r="J17" i="7"/>
  <c r="I17" i="7"/>
  <c r="J46" i="7" l="1"/>
  <c r="C33" i="7"/>
  <c r="M45" i="7"/>
  <c r="C27" i="7"/>
  <c r="M33" i="7"/>
  <c r="M27" i="7"/>
  <c r="J19" i="7"/>
  <c r="M51" i="7"/>
  <c r="M39" i="7"/>
  <c r="J21" i="7"/>
  <c r="K21" i="7"/>
  <c r="K25" i="7"/>
  <c r="K29" i="7" s="1"/>
  <c r="K31" i="7" s="1"/>
  <c r="G15" i="7"/>
  <c r="I15" i="7" s="1"/>
  <c r="J48" i="7" l="1"/>
  <c r="J23" i="7"/>
  <c r="K33" i="7"/>
  <c r="K35" i="7" s="1"/>
  <c r="K37" i="7" s="1"/>
  <c r="K39" i="7" s="1"/>
  <c r="K41" i="7" s="1"/>
  <c r="K43" i="7" s="1"/>
  <c r="K45" i="7" s="1"/>
  <c r="K47" i="7" s="1"/>
  <c r="K49" i="7" s="1"/>
  <c r="K51" i="7" s="1"/>
  <c r="J50" i="7" l="1"/>
  <c r="J27" i="7"/>
  <c r="J25" i="7"/>
  <c r="J52" i="7" l="1"/>
  <c r="J29" i="7"/>
  <c r="J31" i="7" l="1"/>
  <c r="J33" i="7"/>
  <c r="F54" i="7"/>
  <c r="F60" i="7" s="1"/>
  <c r="H60" i="7"/>
  <c r="J35" i="7" l="1"/>
  <c r="J37" i="7" s="1"/>
  <c r="J39" i="7" l="1"/>
  <c r="J41" i="7" l="1"/>
  <c r="J43" i="7" l="1"/>
  <c r="J45" i="7" l="1"/>
  <c r="J47" i="7" l="1"/>
  <c r="J49" i="7" l="1"/>
  <c r="J51" i="7" l="1"/>
  <c r="J54" i="7"/>
</calcChain>
</file>

<file path=xl/sharedStrings.xml><?xml version="1.0" encoding="utf-8"?>
<sst xmlns="http://schemas.openxmlformats.org/spreadsheetml/2006/main" count="514" uniqueCount="254">
  <si>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</si>
  <si>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</si>
  <si>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</si>
  <si>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</si>
  <si>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</si>
  <si>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</si>
  <si>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</si>
  <si>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</si>
  <si>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</si>
  <si>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</si>
  <si>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</si>
  <si>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</si>
  <si>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</si>
  <si>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</si>
  <si>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</si>
  <si>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</si>
  <si>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</si>
  <si>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</si>
  <si>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</si>
  <si>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</si>
  <si>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</si>
  <si>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</si>
  <si>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</si>
  <si>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</si>
  <si>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</si>
  <si>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</si>
  <si>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</si>
  <si>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</si>
  <si>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</si>
  <si>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</si>
  <si>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</si>
  <si>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</si>
  <si>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</si>
  <si>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</si>
  <si>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</si>
  <si>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</si>
  <si>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</si>
  <si>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</si>
  <si>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</si>
  <si>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</si>
  <si>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</si>
  <si>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</si>
  <si>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</si>
  <si>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</si>
  <si>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</si>
  <si>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</si>
  <si>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</si>
  <si>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</si>
  <si>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</si>
  <si>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</si>
  <si>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</si>
  <si>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</si>
  <si>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</si>
  <si>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</si>
  <si>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</si>
  <si>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</si>
  <si>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</si>
  <si>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</si>
  <si>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</si>
  <si>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</si>
  <si>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</si>
  <si>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</si>
  <si>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</si>
  <si>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</si>
  <si>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</si>
  <si>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</si>
  <si>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</si>
  <si>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</si>
  <si>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</si>
  <si>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</si>
  <si>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</si>
  <si>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</si>
  <si>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</si>
  <si>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</si>
  <si>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</si>
  <si>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</si>
  <si>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</si>
  <si>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</si>
  <si>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</si>
  <si>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</si>
  <si>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</si>
  <si>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</si>
  <si>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</si>
  <si>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</si>
  <si>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</si>
  <si>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</si>
  <si>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</si>
  <si>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</si>
  <si>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</si>
  <si>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</si>
  <si>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</si>
  <si>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</si>
  <si>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</si>
  <si>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</si>
  <si>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</si>
  <si>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</si>
  <si>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</si>
  <si>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</si>
  <si>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</si>
  <si>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</si>
  <si>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</si>
  <si>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</si>
  <si>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</si>
  <si>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</si>
  <si>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</si>
  <si>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</si>
  <si>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</si>
  <si>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</si>
  <si>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</si>
  <si>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</si>
  <si>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</si>
  <si>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</si>
  <si>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</si>
  <si>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</si>
  <si>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</si>
  <si>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</si>
  <si>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</si>
  <si>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</si>
  <si>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</si>
  <si>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</si>
  <si>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</si>
  <si>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</si>
  <si>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</si>
  <si>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</si>
  <si>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</si>
  <si>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</si>
  <si>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</si>
  <si>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</si>
  <si>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</si>
  <si>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</si>
  <si>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</si>
  <si>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</si>
  <si>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</si>
  <si>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</si>
  <si>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</si>
  <si>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</si>
  <si>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</si>
  <si>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</si>
  <si>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</si>
  <si>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</si>
  <si>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</si>
  <si>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</si>
  <si>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</si>
  <si>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</si>
  <si>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</si>
  <si>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</si>
  <si>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</si>
  <si>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</si>
  <si>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</si>
  <si>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</si>
  <si>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</si>
  <si>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</si>
  <si>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</si>
  <si>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</si>
  <si>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</si>
  <si>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</si>
  <si>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</si>
  <si>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</si>
  <si>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</si>
  <si>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</si>
  <si>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</si>
  <si>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</si>
  <si>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</si>
  <si>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</si>
  <si>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</si>
  <si>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</si>
  <si>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</si>
  <si>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</si>
  <si>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</si>
  <si>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</si>
  <si>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</si>
  <si>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</si>
  <si>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</si>
  <si>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</si>
  <si>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</si>
  <si>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</si>
  <si>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</si>
  <si>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</si>
  <si>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</si>
  <si>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</si>
  <si>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</si>
  <si>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</si>
  <si>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</si>
  <si>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</si>
  <si>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</si>
  <si>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</si>
  <si>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</si>
  <si>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</si>
  <si>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</si>
  <si>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</si>
  <si>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</si>
  <si>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</si>
  <si>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</si>
  <si>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</si>
  <si>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</si>
  <si>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</si>
  <si>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</si>
  <si>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</si>
  <si>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</si>
  <si>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</si>
  <si>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</si>
  <si>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</si>
  <si>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</si>
  <si>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</si>
  <si>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</si>
  <si>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</si>
  <si>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</si>
  <si>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</si>
  <si>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</si>
  <si>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</si>
  <si>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</si>
  <si>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</si>
  <si>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</si>
  <si>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</si>
  <si>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</si>
  <si>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</si>
  <si>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</si>
  <si>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</si>
  <si>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</si>
  <si>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</si>
  <si>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</si>
  <si>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</si>
  <si>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</si>
  <si>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</si>
  <si>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</si>
  <si>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</si>
  <si>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</si>
  <si>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</si>
  <si>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</si>
  <si>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</si>
  <si>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</si>
  <si>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</si>
  <si>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</si>
  <si>
    <t>testTime</t>
  </si>
  <si>
    <t>TestTime</t>
  </si>
  <si>
    <t>Status</t>
  </si>
  <si>
    <t>Power_Status</t>
  </si>
  <si>
    <t>TEST</t>
  </si>
  <si>
    <t>Output Status</t>
  </si>
  <si>
    <t>UL1_a_status</t>
  </si>
  <si>
    <t>UL1_p_status</t>
  </si>
  <si>
    <t>UL1_f_status</t>
  </si>
  <si>
    <t>UL2_a_status</t>
  </si>
  <si>
    <t>UL2_p_status</t>
  </si>
  <si>
    <t>UL2_f_status</t>
  </si>
  <si>
    <t>UL3_a_status</t>
  </si>
  <si>
    <t>UL3_p_status</t>
  </si>
  <si>
    <t>UL3_f_status</t>
  </si>
  <si>
    <t>Frequency</t>
  </si>
  <si>
    <t>Command/Monitoring</t>
  </si>
  <si>
    <t>IL1_a_status</t>
  </si>
  <si>
    <t>IL1_p_status</t>
  </si>
  <si>
    <t>IL1_f_status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</si>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</sst>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1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left"/>
      <protection locked="0"/>
    </xf>
    <xf numFmtId="0" fontId="3" fillId="0" borderId="0" xfId="0" applyNumberFormat="1" applyFont="1" applyProtection="1">
      <protection locked="0"/>
    </xf>
    <xf numFmtId="0" fontId="4" fillId="0" borderId="0" xfId="0" applyNumberFormat="1" applyFont="1" applyProtection="1">
      <protection locked="0"/>
    </xf>
    <xf numFmtId="0" fontId="4" fillId="0" borderId="0" xfId="0" applyNumberFormat="1" applyFont="1" applyAlignment="1" applyProtection="1">
      <alignment horizontal="left"/>
      <protection locked="0"/>
    </xf>
  </cellXfs>
  <cellStyles count="3">
    <cellStyle name="60% - Accent1" xfId="1" builtinId="32"/>
    <cellStyle name="Normal" xfId="0" builtinId="0"/>
    <cellStyle name="Normal 2" xfId="2" xr:uid="{00000000-0005-0000-0000-000001000000}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left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estInterfaces" displayName="TestInterfaces" ref="A1:Q17" totalsRowShown="0">
  <autoFilter ref="A1:Q17" xr:uid="{00000000-0009-0000-0100-000003000000}"/>
  <tableColumns count="17">
    <tableColumn id="2" xr3:uid="{00000000-0010-0000-0000-000002000000}" name="Interface Name" dataDxfId="88" totalsRowDxfId="87"/>
    <tableColumn id="3" xr3:uid="{00000000-0010-0000-0000-000003000000}" name="Interface Type" dataDxfId="86" totalsRowDxfId="85"/>
    <tableColumn id="4" xr3:uid="{00000000-0010-0000-0000-000004000000}" name="Column1" dataDxfId="84" totalsRowDxfId="83"/>
    <tableColumn id="5" xr3:uid="{00000000-0010-0000-0000-000005000000}" name="Column2" dataDxfId="82" totalsRowDxfId="81"/>
    <tableColumn id="6" xr3:uid="{00000000-0010-0000-0000-000006000000}" name="Column3" dataDxfId="80" totalsRowDxfId="79"/>
    <tableColumn id="7" xr3:uid="{00000000-0010-0000-0000-000007000000}" name="Column4" dataDxfId="78" totalsRowDxfId="77"/>
    <tableColumn id="1" xr3:uid="{00000000-0010-0000-0000-000001000000}" name="Column5" dataDxfId="76" totalsRowDxfId="75"/>
    <tableColumn id="8" xr3:uid="{00000000-0010-0000-0000-000008000000}" name="Column6" dataDxfId="74" totalsRowDxfId="73"/>
    <tableColumn id="9" xr3:uid="{00000000-0010-0000-0000-000009000000}" name="Column7" dataDxfId="72" totalsRowDxfId="71"/>
    <tableColumn id="10" xr3:uid="{00000000-0010-0000-0000-00000A000000}" name="Column8" dataDxfId="70" totalsRowDxfId="69"/>
    <tableColumn id="11" xr3:uid="{00000000-0010-0000-0000-00000B000000}" name="Column9" dataDxfId="68" totalsRowDxfId="67"/>
    <tableColumn id="12" xr3:uid="{00000000-0010-0000-0000-00000C000000}" name="Column10" dataDxfId="66" totalsRowDxfId="65"/>
    <tableColumn id="13" xr3:uid="{00000000-0010-0000-0000-00000D000000}" name="Column11" dataDxfId="64" totalsRowDxfId="63"/>
    <tableColumn id="14" xr3:uid="{00000000-0010-0000-0000-00000E000000}" name="Column12" dataDxfId="62" totalsRowDxfId="61"/>
    <tableColumn id="15" xr3:uid="{00000000-0010-0000-0000-00000F000000}" name="Column13" dataDxfId="60" totalsRowDxfId="59"/>
    <tableColumn id="16" xr3:uid="{00000000-0010-0000-0000-000010000000}" name="Column14" dataDxfId="58" totalsRowDxfId="57"/>
    <tableColumn id="17" xr3:uid="{00000000-0010-0000-0000-000011000000}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estObjects" displayName="TestObjects" ref="A1:AE74" totalsRowShown="0" headerRowDxfId="54" dataDxfId="53">
  <autoFilter ref="A1:AE74" xr:uid="{00000000-0009-0000-0100-000004000000}"/>
  <tableColumns count="31">
    <tableColumn id="1" xr3:uid="{00000000-0010-0000-0100-000001000000}" name="Location 1" dataDxfId="52"/>
    <tableColumn id="2" xr3:uid="{00000000-0010-0000-0100-000002000000}" name="Location 2" dataDxfId="51"/>
    <tableColumn id="3" xr3:uid="{00000000-0010-0000-0100-000003000000}" name="Location 3" dataDxfId="50"/>
    <tableColumn id="4" xr3:uid="{00000000-0010-0000-0100-000004000000}" name="Location 4" dataDxfId="49"/>
    <tableColumn id="5" xr3:uid="{00000000-0010-0000-0100-000005000000}" name="Objectname" dataDxfId="48"/>
    <tableColumn id="6" xr3:uid="{00000000-0010-0000-0100-000006000000}" name="Info-Type" dataDxfId="47"/>
    <tableColumn id="7" xr3:uid="{00000000-0010-0000-0100-000007000000}" name="Column1" dataDxfId="46"/>
    <tableColumn id="8" xr3:uid="{00000000-0010-0000-0100-000008000000}" name="Column2" dataDxfId="45"/>
    <tableColumn id="9" xr3:uid="{00000000-0010-0000-0100-000009000000}" name="Column3" dataDxfId="44"/>
    <tableColumn id="10" xr3:uid="{00000000-0010-0000-0100-00000A000000}" name="Column4" dataDxfId="43"/>
    <tableColumn id="11" xr3:uid="{00000000-0010-0000-0100-00000B000000}" name="Column5" dataDxfId="42"/>
    <tableColumn id="12" xr3:uid="{00000000-0010-0000-0100-00000C000000}" name="Column6" dataDxfId="41"/>
    <tableColumn id="13" xr3:uid="{00000000-0010-0000-0100-00000D000000}" name="Column7" dataDxfId="40"/>
    <tableColumn id="14" xr3:uid="{00000000-0010-0000-0100-00000E000000}" name="Column8" dataDxfId="39"/>
    <tableColumn id="15" xr3:uid="{00000000-0010-0000-0100-00000F000000}" name="Column9" dataDxfId="38"/>
    <tableColumn id="16" xr3:uid="{00000000-0010-0000-0100-000010000000}" name="Column10" dataDxfId="37"/>
    <tableColumn id="17" xr3:uid="{00000000-0010-0000-0100-000011000000}" name="Column11" dataDxfId="36"/>
    <tableColumn id="18" xr3:uid="{00000000-0010-0000-0100-000012000000}" name="Column12" dataDxfId="35"/>
    <tableColumn id="19" xr3:uid="{00000000-0010-0000-0100-000013000000}" name="Column13" dataDxfId="34"/>
    <tableColumn id="20" xr3:uid="{00000000-0010-0000-0100-000014000000}" name="Column14" dataDxfId="33"/>
    <tableColumn id="21" xr3:uid="{00000000-0010-0000-0100-000015000000}" name="Column15" dataDxfId="32"/>
    <tableColumn id="22" xr3:uid="{00000000-0010-0000-0100-000016000000}" name="Column16" dataDxfId="31"/>
    <tableColumn id="23" xr3:uid="{00000000-0010-0000-0100-000017000000}" name="Column17" dataDxfId="30"/>
    <tableColumn id="24" xr3:uid="{00000000-0010-0000-0100-000018000000}" name="Column18" dataDxfId="29"/>
    <tableColumn id="25" xr3:uid="{00000000-0010-0000-0100-000019000000}" name="Column19" dataDxfId="28"/>
    <tableColumn id="26" xr3:uid="{00000000-0010-0000-0100-00001A000000}" name="Column20" dataDxfId="27"/>
    <tableColumn id="27" xr3:uid="{00000000-0010-0000-0100-00001B000000}" name="Column21" dataDxfId="26"/>
    <tableColumn id="28" xr3:uid="{00000000-0010-0000-0100-00001C000000}" name="Column22" dataDxfId="25"/>
    <tableColumn id="29" xr3:uid="{00000000-0010-0000-0100-00001D000000}" name="Column23" dataDxfId="24"/>
    <tableColumn id="30" xr3:uid="{00000000-0010-0000-0100-00001E000000}" name="Column24" dataDxfId="23"/>
    <tableColumn id="31" xr3:uid="{00000000-0010-0000-0100-00001F000000}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estCases" displayName="TestCases" ref="A1:T20" totalsRowShown="0" headerRowDxfId="21" dataDxfId="20">
  <tableColumns count="20">
    <tableColumn id="1" xr3:uid="{00000000-0010-0000-0200-000001000000}" name="Test Case Name" dataDxfId="19"/>
    <tableColumn id="11" xr3:uid="{00000000-0010-0000-0200-00000B000000}" name="Test Case Description" dataDxfId="18"/>
    <tableColumn id="13" xr3:uid="{00000000-0010-0000-0200-00000D000000}" name="Step Number" dataDxfId="17"/>
    <tableColumn id="2" xr3:uid="{00000000-0010-0000-0200-000002000000}" name="Step Name" dataDxfId="16"/>
    <tableColumn id="3" xr3:uid="{00000000-0010-0000-0200-000003000000}" name="Element type" dataDxfId="15"/>
    <tableColumn id="16386" xr3:uid="{00000000-0010-0000-0200-000002400000}" name="Element type detail" dataDxfId="14"/>
    <tableColumn id="18" xr3:uid="{00000000-0010-0000-0200-000012000000}" name="Name" dataDxfId="13"/>
    <tableColumn id="17" xr3:uid="{00000000-0010-0000-0200-000011000000}" name="Tag" dataDxfId="12"/>
    <tableColumn id="4" xr3:uid="{00000000-0010-0000-0200-000004000000}" name="Column 1" dataDxfId="11"/>
    <tableColumn id="5" xr3:uid="{00000000-0010-0000-0200-000005000000}" name="Column 2" dataDxfId="10"/>
    <tableColumn id="6" xr3:uid="{00000000-0010-0000-0200-000006000000}" name="Column 3" dataDxfId="9"/>
    <tableColumn id="7" xr3:uid="{00000000-0010-0000-0200-000007000000}" name="Column 4" dataDxfId="8"/>
    <tableColumn id="8" xr3:uid="{00000000-0010-0000-0200-000008000000}" name="Column 5" dataDxfId="7"/>
    <tableColumn id="9" xr3:uid="{00000000-0010-0000-0200-000009000000}" name="Column 6" dataDxfId="6"/>
    <tableColumn id="10" xr3:uid="{00000000-0010-0000-0200-00000A000000}" name="Column 7" dataDxfId="5"/>
    <tableColumn id="14" xr3:uid="{00000000-0010-0000-0200-00000E000000}" name="Column 8" dataDxfId="4"/>
    <tableColumn id="15" xr3:uid="{00000000-0010-0000-0200-00000F000000}" name="Column 9" dataDxfId="3"/>
    <tableColumn id="16" xr3:uid="{00000000-0010-0000-0200-000010000000}" name="Column 10" dataDxfId="2"/>
    <tableColumn id="19" xr3:uid="{00000000-0010-0000-0200-000013000000}" name="Column 11" dataDxfId="1"/>
    <tableColumn id="20" xr3:uid="{00000000-0010-0000-0200-000014000000}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18" sqref="C18"/>
    </sheetView>
  </sheetViews>
  <sheetFormatPr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  <headerFooter>
    <oddFooter>&amp;C_x000D_&amp;1#&amp;"Arial"&amp;8&amp;K13A10E C1 -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7"/>
  <sheetViews>
    <sheetView zoomScale="90" workbookViewId="0">
      <selection activeCell="A12" sqref="A12"/>
    </sheetView>
  </sheetViews>
  <sheetFormatPr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headerFooter>
    <oddFooter>&amp;C_x000D_&amp;1#&amp;"Arial"&amp;8&amp;K13A10E C1 - Internal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74"/>
  <sheetViews>
    <sheetView tabSelected="1" zoomScaleNormal="100" workbookViewId="0">
      <selection activeCell="O40" sqref="O40"/>
    </sheetView>
  </sheetViews>
  <sheetFormatPr defaultColWidth="9.140625" defaultRowHeight="12.75" outlineLevelRow="1" x14ac:dyDescent="0.2"/>
  <cols>
    <col min="1" max="1" width="17.7109375" style="6" customWidth="1"/>
    <col min="2" max="2" width="12.28515625" style="6" bestFit="1" customWidth="1"/>
    <col min="3" max="3" width="13.42578125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0" width="7.140625" style="6" customWidth="1"/>
    <col min="11" max="11" width="11.85546875" style="6" customWidth="1"/>
    <col min="12" max="12" width="12.85546875" style="6" customWidth="1"/>
    <col min="13" max="13" width="12.5703125" style="6" customWidth="1"/>
    <col min="14" max="14" width="21" style="6" customWidth="1"/>
    <col min="15" max="15" width="25.28515625" style="6" bestFit="1" customWidth="1"/>
    <col min="16" max="16" width="31.42578125" style="6" customWidth="1"/>
    <col min="17" max="17" width="17.42578125" style="6" bestFit="1" customWidth="1"/>
    <col min="18" max="18" width="20.7109375" style="6" customWidth="1"/>
    <col min="19" max="19" width="16.28515625" style="6" bestFit="1" customWidth="1"/>
    <col min="20" max="29" width="20.7109375" style="6" customWidth="1"/>
    <col min="30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outlineLevel="1" x14ac:dyDescent="0.2">
      <c r="F2" s="6" t="s">
        <v>32</v>
      </c>
      <c r="G2" s="6" t="s">
        <v>31</v>
      </c>
      <c r="H2" s="6" t="s">
        <v>76</v>
      </c>
      <c r="I2" s="6" t="s">
        <v>99</v>
      </c>
      <c r="J2" s="7" t="s">
        <v>100</v>
      </c>
      <c r="K2" s="7" t="s">
        <v>77</v>
      </c>
      <c r="L2" s="7" t="s">
        <v>101</v>
      </c>
      <c r="M2" s="7" t="s">
        <v>102</v>
      </c>
      <c r="N2" s="7" t="s">
        <v>78</v>
      </c>
      <c r="O2" s="7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outlineLevel="1" x14ac:dyDescent="0.2">
      <c r="F3" s="6" t="s">
        <v>42</v>
      </c>
      <c r="G3" s="6" t="s">
        <v>74</v>
      </c>
      <c r="H3" s="6" t="s">
        <v>31</v>
      </c>
      <c r="I3" s="6" t="s">
        <v>94</v>
      </c>
      <c r="J3" s="7" t="s">
        <v>75</v>
      </c>
      <c r="K3" s="7" t="s">
        <v>107</v>
      </c>
      <c r="L3" s="7" t="s">
        <v>108</v>
      </c>
      <c r="M3" s="7"/>
      <c r="N3" s="7"/>
      <c r="O3" s="7"/>
    </row>
    <row r="4" spans="1:31" outlineLevel="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7" t="s">
        <v>166</v>
      </c>
      <c r="K4" s="7" t="s">
        <v>167</v>
      </c>
      <c r="L4" s="7" t="s">
        <v>168</v>
      </c>
      <c r="M4" s="7" t="s">
        <v>169</v>
      </c>
      <c r="N4" s="7" t="s">
        <v>170</v>
      </c>
      <c r="O4" s="7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outlineLevel="1" x14ac:dyDescent="0.2">
      <c r="F5" s="6" t="s">
        <v>135</v>
      </c>
      <c r="G5" s="6" t="s">
        <v>74</v>
      </c>
      <c r="H5" s="6" t="s">
        <v>13</v>
      </c>
      <c r="I5" s="6" t="s">
        <v>94</v>
      </c>
      <c r="J5" s="7" t="s">
        <v>16</v>
      </c>
      <c r="K5" s="7" t="s">
        <v>17</v>
      </c>
      <c r="L5" s="7" t="s">
        <v>19</v>
      </c>
      <c r="M5" s="7" t="s">
        <v>21</v>
      </c>
      <c r="N5" s="7" t="s">
        <v>23</v>
      </c>
      <c r="O5" s="7" t="s">
        <v>154</v>
      </c>
      <c r="P5" s="6" t="s">
        <v>163</v>
      </c>
      <c r="Q5" s="6" t="s">
        <v>152</v>
      </c>
    </row>
    <row r="6" spans="1:31" s="9" customFormat="1" outlineLevel="1" x14ac:dyDescent="0.2">
      <c r="F6" s="9" t="s">
        <v>136</v>
      </c>
      <c r="G6" s="9" t="s">
        <v>74</v>
      </c>
      <c r="H6" s="9" t="s">
        <v>13</v>
      </c>
      <c r="I6" s="9" t="s">
        <v>94</v>
      </c>
      <c r="J6" s="10" t="s">
        <v>16</v>
      </c>
      <c r="K6" s="10" t="s">
        <v>17</v>
      </c>
      <c r="L6" s="10" t="s">
        <v>19</v>
      </c>
      <c r="M6" s="10" t="s">
        <v>21</v>
      </c>
      <c r="N6" s="10" t="s">
        <v>23</v>
      </c>
      <c r="O6" s="10" t="s">
        <v>154</v>
      </c>
      <c r="P6" s="9" t="s">
        <v>163</v>
      </c>
      <c r="Q6" s="9" t="s">
        <v>152</v>
      </c>
    </row>
    <row r="7" spans="1:31" outlineLevel="1" x14ac:dyDescent="0.2">
      <c r="F7" s="6" t="s">
        <v>148</v>
      </c>
      <c r="G7" s="6" t="s">
        <v>74</v>
      </c>
      <c r="H7" s="6" t="s">
        <v>13</v>
      </c>
      <c r="I7" s="6" t="s">
        <v>94</v>
      </c>
      <c r="J7" s="7" t="s">
        <v>149</v>
      </c>
      <c r="K7" s="7" t="s">
        <v>150</v>
      </c>
      <c r="L7" s="7" t="s">
        <v>151</v>
      </c>
      <c r="M7" s="7" t="s">
        <v>152</v>
      </c>
      <c r="N7" s="7" t="s">
        <v>153</v>
      </c>
      <c r="O7" s="7"/>
    </row>
    <row r="8" spans="1:31" outlineLevel="1" x14ac:dyDescent="0.2">
      <c r="F8" s="6" t="s">
        <v>193</v>
      </c>
      <c r="G8" s="6" t="s">
        <v>74</v>
      </c>
      <c r="H8" s="6" t="s">
        <v>13</v>
      </c>
      <c r="I8" s="6" t="s">
        <v>94</v>
      </c>
      <c r="J8" s="7" t="s">
        <v>149</v>
      </c>
      <c r="K8" s="7" t="s">
        <v>196</v>
      </c>
      <c r="L8" s="7" t="s">
        <v>194</v>
      </c>
      <c r="M8" s="7"/>
      <c r="N8" s="7"/>
      <c r="O8" s="7"/>
    </row>
    <row r="9" spans="1:31" outlineLevel="1" x14ac:dyDescent="0.2">
      <c r="F9" s="6" t="s">
        <v>158</v>
      </c>
      <c r="G9" s="6" t="s">
        <v>74</v>
      </c>
      <c r="H9" s="6" t="s">
        <v>13</v>
      </c>
      <c r="I9" s="6" t="s">
        <v>94</v>
      </c>
      <c r="J9" s="7" t="s">
        <v>159</v>
      </c>
      <c r="K9" s="7" t="s">
        <v>161</v>
      </c>
      <c r="L9" s="7"/>
      <c r="M9" s="7"/>
      <c r="N9" s="7"/>
      <c r="O9" s="7"/>
    </row>
    <row r="10" spans="1:31" outlineLevel="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7" t="s">
        <v>46</v>
      </c>
      <c r="K10" s="7" t="s">
        <v>47</v>
      </c>
      <c r="L10" s="7" t="s">
        <v>48</v>
      </c>
      <c r="M10" s="7" t="s">
        <v>49</v>
      </c>
      <c r="N10" s="7" t="s">
        <v>50</v>
      </c>
      <c r="O10" s="7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outlineLevel="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7" t="s">
        <v>64</v>
      </c>
      <c r="K11" s="7" t="s">
        <v>65</v>
      </c>
      <c r="L11" s="7" t="s">
        <v>66</v>
      </c>
      <c r="M11" s="7" t="s">
        <v>67</v>
      </c>
      <c r="N11" s="7" t="s">
        <v>68</v>
      </c>
      <c r="O11" s="7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outlineLevel="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7" t="s">
        <v>125</v>
      </c>
      <c r="K12" s="7" t="s">
        <v>126</v>
      </c>
      <c r="L12" s="7" t="s">
        <v>127</v>
      </c>
      <c r="M12" s="7" t="s">
        <v>128</v>
      </c>
      <c r="N12" s="7" t="s">
        <v>129</v>
      </c>
      <c r="O12" s="7" t="s">
        <v>130</v>
      </c>
      <c r="P12" s="6" t="s">
        <v>131</v>
      </c>
      <c r="Q12" s="6" t="s">
        <v>132</v>
      </c>
    </row>
    <row r="13" spans="1:31" x14ac:dyDescent="0.2">
      <c r="J13" s="7"/>
      <c r="K13" s="7"/>
      <c r="L13" s="7"/>
      <c r="M13" s="7"/>
      <c r="N13" s="7"/>
      <c r="O13" s="7"/>
    </row>
    <row r="14" spans="1:31" x14ac:dyDescent="0.2">
      <c r="A14" s="8" t="s">
        <v>249</v>
      </c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C15" s="6" t="s">
        <v>202</v>
      </c>
      <c r="D15" s="6" t="s">
        <v>253</v>
      </c>
      <c r="E15" s="6" t="s">
        <v>204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7">
        <v>100</v>
      </c>
      <c r="K15" s="7">
        <v>1</v>
      </c>
      <c r="L15" s="7">
        <v>255</v>
      </c>
      <c r="M15" s="7">
        <v>0</v>
      </c>
      <c r="N15" s="7">
        <v>1</v>
      </c>
      <c r="O15" s="7">
        <v>45</v>
      </c>
    </row>
    <row r="16" spans="1:31" x14ac:dyDescent="0.2">
      <c r="A16" s="6" t="s">
        <v>202</v>
      </c>
      <c r="B16" s="6" t="s">
        <v>235</v>
      </c>
      <c r="E16" s="6" t="s">
        <v>236</v>
      </c>
      <c r="F16" s="6" t="s">
        <v>136</v>
      </c>
      <c r="G16" s="6" t="str">
        <f>TestObjects[[#This Row],[Objectname]]</f>
        <v>Power_Status</v>
      </c>
      <c r="H16" s="6" t="s">
        <v>198</v>
      </c>
      <c r="I16" s="6" t="str">
        <f>TestObjects[[#This Row],[Objectname]]</f>
        <v>Power_Status</v>
      </c>
      <c r="J16" s="7">
        <v>100</v>
      </c>
      <c r="K16" s="7">
        <v>1</v>
      </c>
      <c r="L16" s="7">
        <v>255</v>
      </c>
      <c r="M16" s="7">
        <v>0</v>
      </c>
      <c r="N16" s="7">
        <v>2</v>
      </c>
      <c r="O16" s="7">
        <v>1</v>
      </c>
    </row>
    <row r="17" spans="1:15" x14ac:dyDescent="0.2">
      <c r="A17" s="6" t="s">
        <v>202</v>
      </c>
      <c r="B17" s="6" t="s">
        <v>208</v>
      </c>
      <c r="C17" s="6" t="s">
        <v>205</v>
      </c>
      <c r="D17" s="6" t="s">
        <v>206</v>
      </c>
      <c r="E17" s="6" t="s">
        <v>207</v>
      </c>
      <c r="F17" s="6" t="s">
        <v>136</v>
      </c>
      <c r="G17" s="6" t="s">
        <v>208</v>
      </c>
      <c r="H17" s="6" t="s">
        <v>198</v>
      </c>
      <c r="I17" s="6" t="str">
        <f>TestObjects[[#This Row],[Objectname]]</f>
        <v>UL1_a</v>
      </c>
      <c r="J17" s="7">
        <f>J15</f>
        <v>100</v>
      </c>
      <c r="K17" s="7">
        <f>K15</f>
        <v>1</v>
      </c>
      <c r="L17" s="7">
        <v>1</v>
      </c>
      <c r="M17" s="7">
        <v>1</v>
      </c>
      <c r="N17" s="7">
        <v>1</v>
      </c>
      <c r="O17" s="7">
        <v>50</v>
      </c>
    </row>
    <row r="18" spans="1:15" x14ac:dyDescent="0.2">
      <c r="B18" s="6" t="s">
        <v>235</v>
      </c>
      <c r="E18" s="6" t="s">
        <v>239</v>
      </c>
      <c r="F18" s="6" t="s">
        <v>136</v>
      </c>
      <c r="G18" s="6" t="s">
        <v>238</v>
      </c>
      <c r="H18" s="6" t="s">
        <v>198</v>
      </c>
      <c r="J18" s="7">
        <v>100</v>
      </c>
      <c r="K18" s="7">
        <v>1</v>
      </c>
      <c r="L18" s="7">
        <v>0</v>
      </c>
      <c r="M18" s="7">
        <v>1</v>
      </c>
      <c r="N18" s="7">
        <v>1</v>
      </c>
      <c r="O18" s="7">
        <v>13</v>
      </c>
    </row>
    <row r="19" spans="1:15" x14ac:dyDescent="0.2">
      <c r="A19" s="6" t="s">
        <v>202</v>
      </c>
      <c r="B19" s="6" t="s">
        <v>208</v>
      </c>
      <c r="C19" s="6" t="str">
        <f>C17</f>
        <v>UL1</v>
      </c>
      <c r="D19" s="6" t="s">
        <v>209</v>
      </c>
      <c r="E19" s="6" t="s">
        <v>210</v>
      </c>
      <c r="F19" s="6" t="s">
        <v>136</v>
      </c>
      <c r="G19" s="6" t="s">
        <v>208</v>
      </c>
      <c r="H19" s="6" t="s">
        <v>198</v>
      </c>
      <c r="I19" s="6" t="str">
        <f>TestObjects[[#This Row],[Objectname]]</f>
        <v>UL1_p</v>
      </c>
      <c r="J19" s="7">
        <f>J17</f>
        <v>100</v>
      </c>
      <c r="K19" s="7">
        <f>K17</f>
        <v>1</v>
      </c>
      <c r="L19" s="7">
        <v>1</v>
      </c>
      <c r="M19" s="7">
        <v>1</v>
      </c>
      <c r="N19" s="7">
        <v>2</v>
      </c>
      <c r="O19" s="7">
        <v>50</v>
      </c>
    </row>
    <row r="20" spans="1:15" x14ac:dyDescent="0.2">
      <c r="B20" s="6" t="s">
        <v>235</v>
      </c>
      <c r="E20" s="6" t="s">
        <v>240</v>
      </c>
      <c r="F20" s="6" t="s">
        <v>136</v>
      </c>
      <c r="G20" s="6" t="s">
        <v>238</v>
      </c>
      <c r="H20" s="6" t="s">
        <v>198</v>
      </c>
      <c r="J20" s="7">
        <v>100</v>
      </c>
      <c r="K20" s="7">
        <v>1</v>
      </c>
      <c r="L20" s="7">
        <v>0</v>
      </c>
      <c r="M20" s="7">
        <v>1</v>
      </c>
      <c r="N20" s="7">
        <v>2</v>
      </c>
      <c r="O20" s="7">
        <v>13</v>
      </c>
    </row>
    <row r="21" spans="1:15" x14ac:dyDescent="0.2">
      <c r="A21" s="6" t="s">
        <v>202</v>
      </c>
      <c r="B21" s="6" t="s">
        <v>208</v>
      </c>
      <c r="C21" s="6" t="str">
        <f>C17</f>
        <v>UL1</v>
      </c>
      <c r="D21" s="6" t="s">
        <v>248</v>
      </c>
      <c r="E21" s="6" t="s">
        <v>226</v>
      </c>
      <c r="F21" s="6" t="s">
        <v>136</v>
      </c>
      <c r="G21" s="6" t="s">
        <v>208</v>
      </c>
      <c r="H21" s="6" t="s">
        <v>198</v>
      </c>
      <c r="I21" s="6" t="str">
        <f>TestObjects[[#This Row],[Objectname]]</f>
        <v>UL1_f</v>
      </c>
      <c r="J21" s="7">
        <f>J17</f>
        <v>100</v>
      </c>
      <c r="K21" s="7">
        <f>K17</f>
        <v>1</v>
      </c>
      <c r="L21" s="7">
        <v>1</v>
      </c>
      <c r="M21" s="7">
        <v>1</v>
      </c>
      <c r="N21" s="7">
        <v>3</v>
      </c>
      <c r="O21" s="7">
        <v>50</v>
      </c>
    </row>
    <row r="22" spans="1:15" x14ac:dyDescent="0.2">
      <c r="B22" s="6" t="s">
        <v>235</v>
      </c>
      <c r="E22" s="6" t="s">
        <v>241</v>
      </c>
      <c r="F22" s="6" t="s">
        <v>136</v>
      </c>
      <c r="G22" s="6" t="s">
        <v>238</v>
      </c>
      <c r="H22" s="6" t="s">
        <v>198</v>
      </c>
      <c r="J22" s="7">
        <v>100</v>
      </c>
      <c r="K22" s="7">
        <v>1</v>
      </c>
      <c r="L22" s="7">
        <v>0</v>
      </c>
      <c r="M22" s="7">
        <v>1</v>
      </c>
      <c r="N22" s="7">
        <v>3</v>
      </c>
      <c r="O22" s="7">
        <v>13</v>
      </c>
    </row>
    <row r="23" spans="1:15" x14ac:dyDescent="0.2">
      <c r="A23" s="6" t="s">
        <v>202</v>
      </c>
      <c r="B23" s="6" t="s">
        <v>208</v>
      </c>
      <c r="C23" s="6" t="s">
        <v>211</v>
      </c>
      <c r="D23" s="6" t="s">
        <v>206</v>
      </c>
      <c r="E23" s="6" t="s">
        <v>212</v>
      </c>
      <c r="F23" s="6" t="s">
        <v>136</v>
      </c>
      <c r="G23" s="6" t="s">
        <v>208</v>
      </c>
      <c r="H23" s="6" t="s">
        <v>198</v>
      </c>
      <c r="I23" s="6" t="str">
        <f>TestObjects[[#This Row],[Objectname]]</f>
        <v>UL2_a</v>
      </c>
      <c r="J23" s="7">
        <f>J19</f>
        <v>100</v>
      </c>
      <c r="K23" s="7">
        <f>K19</f>
        <v>1</v>
      </c>
      <c r="L23" s="7">
        <v>1</v>
      </c>
      <c r="M23" s="7">
        <v>2</v>
      </c>
      <c r="N23" s="7">
        <v>1</v>
      </c>
      <c r="O23" s="7">
        <v>50</v>
      </c>
    </row>
    <row r="24" spans="1:15" x14ac:dyDescent="0.2">
      <c r="B24" s="6" t="s">
        <v>235</v>
      </c>
      <c r="E24" s="6" t="s">
        <v>242</v>
      </c>
      <c r="F24" s="6" t="s">
        <v>136</v>
      </c>
      <c r="G24" s="6" t="s">
        <v>238</v>
      </c>
      <c r="H24" s="6" t="s">
        <v>198</v>
      </c>
      <c r="J24" s="7">
        <v>100</v>
      </c>
      <c r="K24" s="7">
        <v>1</v>
      </c>
      <c r="L24" s="7">
        <v>0</v>
      </c>
      <c r="M24" s="7">
        <v>2</v>
      </c>
      <c r="N24" s="7">
        <v>1</v>
      </c>
      <c r="O24" s="7">
        <v>13</v>
      </c>
    </row>
    <row r="25" spans="1:15" x14ac:dyDescent="0.2">
      <c r="A25" s="6" t="s">
        <v>202</v>
      </c>
      <c r="B25" s="6" t="s">
        <v>208</v>
      </c>
      <c r="C25" s="6" t="str">
        <f>C23</f>
        <v>UL2</v>
      </c>
      <c r="D25" s="6" t="s">
        <v>209</v>
      </c>
      <c r="E25" s="6" t="s">
        <v>213</v>
      </c>
      <c r="F25" s="6" t="s">
        <v>136</v>
      </c>
      <c r="G25" s="6" t="s">
        <v>208</v>
      </c>
      <c r="H25" s="6" t="s">
        <v>198</v>
      </c>
      <c r="I25" s="6" t="str">
        <f>TestObjects[[#This Row],[Objectname]]</f>
        <v>UL2_p</v>
      </c>
      <c r="J25" s="7">
        <f>J23</f>
        <v>100</v>
      </c>
      <c r="K25" s="7">
        <f>K23</f>
        <v>1</v>
      </c>
      <c r="L25" s="7">
        <v>1</v>
      </c>
      <c r="M25" s="7">
        <f>M23</f>
        <v>2</v>
      </c>
      <c r="N25" s="7">
        <v>2</v>
      </c>
      <c r="O25" s="7">
        <v>50</v>
      </c>
    </row>
    <row r="26" spans="1:15" x14ac:dyDescent="0.2">
      <c r="B26" s="6" t="s">
        <v>235</v>
      </c>
      <c r="E26" s="6" t="s">
        <v>243</v>
      </c>
      <c r="F26" s="6" t="s">
        <v>136</v>
      </c>
      <c r="G26" s="6" t="s">
        <v>238</v>
      </c>
      <c r="H26" s="6" t="s">
        <v>198</v>
      </c>
      <c r="J26" s="7">
        <v>100</v>
      </c>
      <c r="K26" s="7">
        <v>1</v>
      </c>
      <c r="L26" s="7">
        <v>0</v>
      </c>
      <c r="M26" s="7">
        <v>2</v>
      </c>
      <c r="N26" s="7">
        <v>2</v>
      </c>
      <c r="O26" s="7">
        <v>13</v>
      </c>
    </row>
    <row r="27" spans="1:15" x14ac:dyDescent="0.2">
      <c r="A27" s="6" t="s">
        <v>202</v>
      </c>
      <c r="B27" s="6" t="s">
        <v>208</v>
      </c>
      <c r="C27" s="6" t="str">
        <f>C25</f>
        <v>UL2</v>
      </c>
      <c r="D27" s="6" t="s">
        <v>248</v>
      </c>
      <c r="E27" s="6" t="s">
        <v>227</v>
      </c>
      <c r="F27" s="6" t="s">
        <v>136</v>
      </c>
      <c r="G27" s="6" t="s">
        <v>208</v>
      </c>
      <c r="H27" s="6" t="s">
        <v>198</v>
      </c>
      <c r="I27" s="6" t="str">
        <f>TestObjects[[#This Row],[Objectname]]</f>
        <v>UL2_f</v>
      </c>
      <c r="J27" s="7">
        <f>J23</f>
        <v>100</v>
      </c>
      <c r="K27" s="7">
        <f>K23</f>
        <v>1</v>
      </c>
      <c r="L27" s="7">
        <v>1</v>
      </c>
      <c r="M27" s="7">
        <f>M25</f>
        <v>2</v>
      </c>
      <c r="N27" s="7">
        <v>3</v>
      </c>
      <c r="O27" s="7">
        <v>50</v>
      </c>
    </row>
    <row r="28" spans="1:15" x14ac:dyDescent="0.2">
      <c r="B28" s="6" t="s">
        <v>235</v>
      </c>
      <c r="E28" s="6" t="s">
        <v>244</v>
      </c>
      <c r="F28" s="6" t="s">
        <v>136</v>
      </c>
      <c r="G28" s="6" t="s">
        <v>238</v>
      </c>
      <c r="H28" s="6" t="s">
        <v>198</v>
      </c>
      <c r="J28" s="7">
        <v>100</v>
      </c>
      <c r="K28" s="7">
        <v>1</v>
      </c>
      <c r="L28" s="7">
        <v>0</v>
      </c>
      <c r="M28" s="7">
        <v>2</v>
      </c>
      <c r="N28" s="7">
        <v>3</v>
      </c>
      <c r="O28" s="7">
        <v>13</v>
      </c>
    </row>
    <row r="29" spans="1:15" x14ac:dyDescent="0.2">
      <c r="A29" s="6" t="s">
        <v>202</v>
      </c>
      <c r="B29" s="6" t="s">
        <v>208</v>
      </c>
      <c r="C29" s="6" t="s">
        <v>214</v>
      </c>
      <c r="D29" s="6" t="s">
        <v>206</v>
      </c>
      <c r="E29" s="6" t="s">
        <v>215</v>
      </c>
      <c r="F29" s="6" t="s">
        <v>136</v>
      </c>
      <c r="G29" s="6" t="s">
        <v>208</v>
      </c>
      <c r="H29" s="6" t="s">
        <v>198</v>
      </c>
      <c r="I29" s="6" t="str">
        <f>TestObjects[[#This Row],[Objectname]]</f>
        <v>UL3_a</v>
      </c>
      <c r="J29" s="7">
        <f>J25</f>
        <v>100</v>
      </c>
      <c r="K29" s="7">
        <f>K25</f>
        <v>1</v>
      </c>
      <c r="L29" s="7">
        <v>1</v>
      </c>
      <c r="M29" s="7">
        <v>3</v>
      </c>
      <c r="N29" s="7">
        <v>1</v>
      </c>
      <c r="O29" s="7">
        <v>50</v>
      </c>
    </row>
    <row r="30" spans="1:15" x14ac:dyDescent="0.2">
      <c r="B30" s="6" t="s">
        <v>235</v>
      </c>
      <c r="E30" s="6" t="s">
        <v>245</v>
      </c>
      <c r="F30" s="6" t="s">
        <v>136</v>
      </c>
      <c r="G30" s="6" t="s">
        <v>238</v>
      </c>
      <c r="H30" s="6" t="s">
        <v>198</v>
      </c>
      <c r="J30" s="7">
        <v>100</v>
      </c>
      <c r="K30" s="7">
        <v>1</v>
      </c>
      <c r="L30" s="7">
        <v>0</v>
      </c>
      <c r="M30" s="7">
        <v>3</v>
      </c>
      <c r="N30" s="7">
        <v>1</v>
      </c>
      <c r="O30" s="7">
        <v>13</v>
      </c>
    </row>
    <row r="31" spans="1:15" x14ac:dyDescent="0.2">
      <c r="A31" s="6" t="s">
        <v>202</v>
      </c>
      <c r="B31" s="6" t="s">
        <v>208</v>
      </c>
      <c r="C31" s="6" t="str">
        <f>C29</f>
        <v>UL3</v>
      </c>
      <c r="D31" s="6" t="s">
        <v>209</v>
      </c>
      <c r="E31" s="6" t="s">
        <v>216</v>
      </c>
      <c r="F31" s="6" t="s">
        <v>136</v>
      </c>
      <c r="G31" s="6" t="s">
        <v>208</v>
      </c>
      <c r="H31" s="6" t="s">
        <v>198</v>
      </c>
      <c r="I31" s="6" t="str">
        <f>TestObjects[[#This Row],[Objectname]]</f>
        <v>UL3_p</v>
      </c>
      <c r="J31" s="7">
        <f>J29</f>
        <v>100</v>
      </c>
      <c r="K31" s="7">
        <f>K29</f>
        <v>1</v>
      </c>
      <c r="L31" s="7">
        <v>1</v>
      </c>
      <c r="M31" s="7">
        <f>M29</f>
        <v>3</v>
      </c>
      <c r="N31" s="7">
        <v>2</v>
      </c>
      <c r="O31" s="7">
        <v>50</v>
      </c>
    </row>
    <row r="32" spans="1:15" x14ac:dyDescent="0.2">
      <c r="B32" s="6" t="s">
        <v>235</v>
      </c>
      <c r="E32" s="6" t="s">
        <v>246</v>
      </c>
      <c r="F32" s="6" t="s">
        <v>136</v>
      </c>
      <c r="G32" s="6" t="s">
        <v>238</v>
      </c>
      <c r="H32" s="6" t="s">
        <v>198</v>
      </c>
      <c r="J32" s="7">
        <v>100</v>
      </c>
      <c r="K32" s="7">
        <v>1</v>
      </c>
      <c r="L32" s="7">
        <v>0</v>
      </c>
      <c r="M32" s="7">
        <v>3</v>
      </c>
      <c r="N32" s="7">
        <v>2</v>
      </c>
      <c r="O32" s="7">
        <v>13</v>
      </c>
    </row>
    <row r="33" spans="1:15" x14ac:dyDescent="0.2">
      <c r="A33" s="6" t="s">
        <v>202</v>
      </c>
      <c r="B33" s="6" t="s">
        <v>208</v>
      </c>
      <c r="C33" s="6" t="str">
        <f>C31</f>
        <v>UL3</v>
      </c>
      <c r="D33" s="6" t="s">
        <v>248</v>
      </c>
      <c r="E33" s="6" t="s">
        <v>228</v>
      </c>
      <c r="F33" s="6" t="s">
        <v>136</v>
      </c>
      <c r="G33" s="6" t="s">
        <v>208</v>
      </c>
      <c r="H33" s="6" t="s">
        <v>198</v>
      </c>
      <c r="I33" s="6" t="str">
        <f>TestObjects[[#This Row],[Objectname]]</f>
        <v>UL3_f</v>
      </c>
      <c r="J33" s="7">
        <f>J29</f>
        <v>100</v>
      </c>
      <c r="K33" s="7">
        <f>K29</f>
        <v>1</v>
      </c>
      <c r="L33" s="7">
        <v>1</v>
      </c>
      <c r="M33" s="7">
        <f>M31</f>
        <v>3</v>
      </c>
      <c r="N33" s="7">
        <v>3</v>
      </c>
      <c r="O33" s="7">
        <v>50</v>
      </c>
    </row>
    <row r="34" spans="1:15" x14ac:dyDescent="0.2">
      <c r="B34" s="6" t="s">
        <v>235</v>
      </c>
      <c r="E34" s="6" t="s">
        <v>247</v>
      </c>
      <c r="F34" s="6" t="s">
        <v>136</v>
      </c>
      <c r="G34" s="6" t="s">
        <v>238</v>
      </c>
      <c r="H34" s="6" t="s">
        <v>198</v>
      </c>
      <c r="J34" s="7">
        <v>100</v>
      </c>
      <c r="K34" s="7">
        <v>1</v>
      </c>
      <c r="L34" s="7">
        <v>0</v>
      </c>
      <c r="M34" s="7">
        <v>3</v>
      </c>
      <c r="N34" s="7">
        <v>3</v>
      </c>
      <c r="O34" s="7">
        <v>13</v>
      </c>
    </row>
    <row r="35" spans="1:15" x14ac:dyDescent="0.2">
      <c r="A35" s="6" t="s">
        <v>202</v>
      </c>
      <c r="B35" s="6" t="s">
        <v>208</v>
      </c>
      <c r="C35" s="6" t="s">
        <v>217</v>
      </c>
      <c r="D35" s="6" t="s">
        <v>206</v>
      </c>
      <c r="E35" s="6" t="s">
        <v>220</v>
      </c>
      <c r="F35" s="6" t="s">
        <v>136</v>
      </c>
      <c r="G35" s="6" t="s">
        <v>208</v>
      </c>
      <c r="H35" s="6" t="s">
        <v>198</v>
      </c>
      <c r="I35" s="6" t="str">
        <f>TestObjects[[#This Row],[Objectname]]</f>
        <v>IL1_a</v>
      </c>
      <c r="J35" s="7">
        <f>J33</f>
        <v>100</v>
      </c>
      <c r="K35" s="7">
        <f>K33</f>
        <v>1</v>
      </c>
      <c r="L35" s="7">
        <v>1</v>
      </c>
      <c r="M35" s="7">
        <v>4</v>
      </c>
      <c r="N35" s="7">
        <v>1</v>
      </c>
      <c r="O35" s="7">
        <v>50</v>
      </c>
    </row>
    <row r="36" spans="1:15" x14ac:dyDescent="0.2">
      <c r="B36" s="6" t="s">
        <v>235</v>
      </c>
      <c r="E36" s="6" t="s">
        <v>250</v>
      </c>
      <c r="F36" s="6" t="s">
        <v>136</v>
      </c>
      <c r="G36" s="6" t="s">
        <v>238</v>
      </c>
      <c r="H36" s="6" t="s">
        <v>198</v>
      </c>
      <c r="J36" s="7">
        <f t="shared" ref="J36:K36" si="0">J34</f>
        <v>100</v>
      </c>
      <c r="K36" s="7">
        <f t="shared" si="0"/>
        <v>1</v>
      </c>
      <c r="L36" s="7">
        <v>0</v>
      </c>
      <c r="M36" s="7">
        <v>4</v>
      </c>
      <c r="N36" s="7">
        <v>1</v>
      </c>
      <c r="O36" s="7">
        <v>13</v>
      </c>
    </row>
    <row r="37" spans="1:15" x14ac:dyDescent="0.2">
      <c r="A37" s="6" t="s">
        <v>202</v>
      </c>
      <c r="B37" s="6" t="s">
        <v>208</v>
      </c>
      <c r="C37" s="6" t="str">
        <f>C35</f>
        <v>IL1</v>
      </c>
      <c r="D37" s="6" t="s">
        <v>209</v>
      </c>
      <c r="E37" s="6" t="s">
        <v>221</v>
      </c>
      <c r="F37" s="6" t="s">
        <v>136</v>
      </c>
      <c r="G37" s="6" t="s">
        <v>208</v>
      </c>
      <c r="H37" s="6" t="s">
        <v>198</v>
      </c>
      <c r="I37" s="6" t="str">
        <f>TestObjects[[#This Row],[Objectname]]</f>
        <v>IL1_p</v>
      </c>
      <c r="J37" s="7">
        <f t="shared" ref="J37:K37" si="1">J35</f>
        <v>100</v>
      </c>
      <c r="K37" s="7">
        <f t="shared" si="1"/>
        <v>1</v>
      </c>
      <c r="L37" s="7">
        <v>1</v>
      </c>
      <c r="M37" s="7">
        <f>M35</f>
        <v>4</v>
      </c>
      <c r="N37" s="7">
        <v>2</v>
      </c>
      <c r="O37" s="7">
        <v>50</v>
      </c>
    </row>
    <row r="38" spans="1:15" x14ac:dyDescent="0.2">
      <c r="B38" s="6" t="s">
        <v>235</v>
      </c>
      <c r="E38" s="6" t="s">
        <v>251</v>
      </c>
      <c r="F38" s="6" t="s">
        <v>136</v>
      </c>
      <c r="G38" s="6" t="s">
        <v>238</v>
      </c>
      <c r="H38" s="6" t="s">
        <v>198</v>
      </c>
      <c r="J38" s="7">
        <f t="shared" ref="J38:K38" si="2">J36</f>
        <v>100</v>
      </c>
      <c r="K38" s="7">
        <f t="shared" si="2"/>
        <v>1</v>
      </c>
      <c r="L38" s="7">
        <v>0</v>
      </c>
      <c r="M38" s="7">
        <v>4</v>
      </c>
      <c r="N38" s="7">
        <v>2</v>
      </c>
      <c r="O38" s="7">
        <v>13</v>
      </c>
    </row>
    <row r="39" spans="1:15" x14ac:dyDescent="0.2">
      <c r="A39" s="6" t="s">
        <v>202</v>
      </c>
      <c r="B39" s="6" t="s">
        <v>208</v>
      </c>
      <c r="C39" s="6" t="str">
        <f>C35</f>
        <v>IL1</v>
      </c>
      <c r="D39" s="6" t="s">
        <v>248</v>
      </c>
      <c r="E39" s="6" t="s">
        <v>229</v>
      </c>
      <c r="F39" s="6" t="s">
        <v>136</v>
      </c>
      <c r="G39" s="6" t="s">
        <v>208</v>
      </c>
      <c r="H39" s="6" t="s">
        <v>198</v>
      </c>
      <c r="I39" s="6" t="str">
        <f>TestObjects[[#This Row],[Objectname]]</f>
        <v>IL1_f</v>
      </c>
      <c r="J39" s="7">
        <f t="shared" ref="J39:K39" si="3">J37</f>
        <v>100</v>
      </c>
      <c r="K39" s="7">
        <f t="shared" si="3"/>
        <v>1</v>
      </c>
      <c r="L39" s="7">
        <v>1</v>
      </c>
      <c r="M39" s="7">
        <f>M37</f>
        <v>4</v>
      </c>
      <c r="N39" s="7">
        <v>3</v>
      </c>
      <c r="O39" s="7">
        <v>50</v>
      </c>
    </row>
    <row r="40" spans="1:15" x14ac:dyDescent="0.2">
      <c r="B40" s="6" t="s">
        <v>235</v>
      </c>
      <c r="E40" s="6" t="s">
        <v>252</v>
      </c>
      <c r="F40" s="6" t="s">
        <v>136</v>
      </c>
      <c r="G40" s="6" t="s">
        <v>238</v>
      </c>
      <c r="H40" s="6" t="s">
        <v>198</v>
      </c>
      <c r="J40" s="7">
        <f t="shared" ref="J40:K40" si="4">J38</f>
        <v>100</v>
      </c>
      <c r="K40" s="7">
        <f t="shared" si="4"/>
        <v>1</v>
      </c>
      <c r="L40" s="7">
        <v>0</v>
      </c>
      <c r="M40" s="7">
        <v>4</v>
      </c>
      <c r="N40" s="7">
        <v>3</v>
      </c>
      <c r="O40" s="7">
        <v>13</v>
      </c>
    </row>
    <row r="41" spans="1:15" x14ac:dyDescent="0.2">
      <c r="A41" s="6" t="s">
        <v>202</v>
      </c>
      <c r="B41" s="6" t="s">
        <v>208</v>
      </c>
      <c r="C41" s="6" t="s">
        <v>218</v>
      </c>
      <c r="D41" s="6" t="s">
        <v>206</v>
      </c>
      <c r="E41" s="6" t="s">
        <v>222</v>
      </c>
      <c r="F41" s="6" t="s">
        <v>136</v>
      </c>
      <c r="G41" s="6" t="s">
        <v>208</v>
      </c>
      <c r="H41" s="6" t="s">
        <v>198</v>
      </c>
      <c r="I41" s="6" t="str">
        <f>TestObjects[[#This Row],[Objectname]]</f>
        <v>IL2_a</v>
      </c>
      <c r="J41" s="7">
        <f t="shared" ref="J41:K41" si="5">J39</f>
        <v>100</v>
      </c>
      <c r="K41" s="7">
        <f t="shared" si="5"/>
        <v>1</v>
      </c>
      <c r="L41" s="7">
        <v>1</v>
      </c>
      <c r="M41" s="7">
        <v>5</v>
      </c>
      <c r="N41" s="7">
        <v>1</v>
      </c>
      <c r="O41" s="7">
        <v>50</v>
      </c>
    </row>
    <row r="42" spans="1:15" x14ac:dyDescent="0.2">
      <c r="B42" s="6" t="s">
        <v>235</v>
      </c>
      <c r="E42" s="6" t="s">
        <v>250</v>
      </c>
      <c r="F42" s="6" t="s">
        <v>136</v>
      </c>
      <c r="G42" s="6" t="s">
        <v>238</v>
      </c>
      <c r="H42" s="6" t="s">
        <v>198</v>
      </c>
      <c r="J42" s="7">
        <f t="shared" ref="J42:K42" si="6">J40</f>
        <v>100</v>
      </c>
      <c r="K42" s="7">
        <f t="shared" si="6"/>
        <v>1</v>
      </c>
      <c r="L42" s="7">
        <v>0</v>
      </c>
      <c r="M42" s="7">
        <v>5</v>
      </c>
      <c r="N42" s="7">
        <v>1</v>
      </c>
      <c r="O42" s="7">
        <v>13</v>
      </c>
    </row>
    <row r="43" spans="1:15" x14ac:dyDescent="0.2">
      <c r="A43" s="6" t="s">
        <v>202</v>
      </c>
      <c r="B43" s="6" t="s">
        <v>208</v>
      </c>
      <c r="C43" s="6" t="str">
        <f>C41</f>
        <v>IL2</v>
      </c>
      <c r="D43" s="6" t="s">
        <v>209</v>
      </c>
      <c r="E43" s="6" t="s">
        <v>223</v>
      </c>
      <c r="F43" s="6" t="s">
        <v>136</v>
      </c>
      <c r="G43" s="6" t="s">
        <v>208</v>
      </c>
      <c r="H43" s="6" t="s">
        <v>198</v>
      </c>
      <c r="I43" s="6" t="str">
        <f>TestObjects[[#This Row],[Objectname]]</f>
        <v>IL2_p</v>
      </c>
      <c r="J43" s="7">
        <f t="shared" ref="J43:K43" si="7">J41</f>
        <v>100</v>
      </c>
      <c r="K43" s="7">
        <f t="shared" si="7"/>
        <v>1</v>
      </c>
      <c r="L43" s="7">
        <v>1</v>
      </c>
      <c r="M43" s="7">
        <f>M41</f>
        <v>5</v>
      </c>
      <c r="N43" s="7">
        <v>2</v>
      </c>
      <c r="O43" s="7">
        <v>50</v>
      </c>
    </row>
    <row r="44" spans="1:15" x14ac:dyDescent="0.2">
      <c r="B44" s="6" t="s">
        <v>235</v>
      </c>
      <c r="E44" s="6" t="s">
        <v>251</v>
      </c>
      <c r="F44" s="6" t="s">
        <v>136</v>
      </c>
      <c r="G44" s="6" t="s">
        <v>238</v>
      </c>
      <c r="H44" s="6" t="s">
        <v>198</v>
      </c>
      <c r="J44" s="7">
        <f t="shared" ref="J44:K44" si="8">J42</f>
        <v>100</v>
      </c>
      <c r="K44" s="7">
        <f t="shared" si="8"/>
        <v>1</v>
      </c>
      <c r="L44" s="7">
        <v>0</v>
      </c>
      <c r="M44" s="7">
        <v>5</v>
      </c>
      <c r="N44" s="7">
        <v>2</v>
      </c>
      <c r="O44" s="7">
        <v>13</v>
      </c>
    </row>
    <row r="45" spans="1:15" x14ac:dyDescent="0.2">
      <c r="A45" s="6" t="s">
        <v>202</v>
      </c>
      <c r="B45" s="6" t="s">
        <v>208</v>
      </c>
      <c r="C45" s="6" t="str">
        <f>C43</f>
        <v>IL2</v>
      </c>
      <c r="D45" s="6" t="s">
        <v>248</v>
      </c>
      <c r="E45" s="6" t="s">
        <v>230</v>
      </c>
      <c r="F45" s="6" t="s">
        <v>136</v>
      </c>
      <c r="G45" s="6" t="s">
        <v>208</v>
      </c>
      <c r="H45" s="6" t="s">
        <v>198</v>
      </c>
      <c r="I45" s="6" t="str">
        <f>TestObjects[[#This Row],[Objectname]]</f>
        <v>IL2_f</v>
      </c>
      <c r="J45" s="7">
        <f t="shared" ref="J45:K45" si="9">J43</f>
        <v>100</v>
      </c>
      <c r="K45" s="7">
        <f t="shared" si="9"/>
        <v>1</v>
      </c>
      <c r="L45" s="7">
        <v>1</v>
      </c>
      <c r="M45" s="7">
        <f>M43</f>
        <v>5</v>
      </c>
      <c r="N45" s="7">
        <v>3</v>
      </c>
      <c r="O45" s="7">
        <v>50</v>
      </c>
    </row>
    <row r="46" spans="1:15" x14ac:dyDescent="0.2">
      <c r="B46" s="6" t="s">
        <v>235</v>
      </c>
      <c r="E46" s="6" t="s">
        <v>252</v>
      </c>
      <c r="F46" s="6" t="s">
        <v>136</v>
      </c>
      <c r="G46" s="6" t="s">
        <v>238</v>
      </c>
      <c r="H46" s="6" t="s">
        <v>198</v>
      </c>
      <c r="J46" s="7">
        <f t="shared" ref="J46:K46" si="10">J44</f>
        <v>100</v>
      </c>
      <c r="K46" s="7">
        <f t="shared" si="10"/>
        <v>1</v>
      </c>
      <c r="L46" s="7">
        <v>0</v>
      </c>
      <c r="M46" s="7">
        <v>5</v>
      </c>
      <c r="N46" s="7">
        <v>3</v>
      </c>
      <c r="O46" s="7">
        <v>13</v>
      </c>
    </row>
    <row r="47" spans="1:15" x14ac:dyDescent="0.2">
      <c r="A47" s="6" t="s">
        <v>202</v>
      </c>
      <c r="B47" s="6" t="s">
        <v>208</v>
      </c>
      <c r="C47" s="6" t="s">
        <v>219</v>
      </c>
      <c r="D47" s="6" t="s">
        <v>206</v>
      </c>
      <c r="E47" s="6" t="s">
        <v>224</v>
      </c>
      <c r="F47" s="6" t="s">
        <v>136</v>
      </c>
      <c r="G47" s="6" t="s">
        <v>208</v>
      </c>
      <c r="H47" s="6" t="s">
        <v>198</v>
      </c>
      <c r="I47" s="6" t="str">
        <f>TestObjects[[#This Row],[Objectname]]</f>
        <v>IL3_a</v>
      </c>
      <c r="J47" s="7">
        <f t="shared" ref="J47:K47" si="11">J45</f>
        <v>100</v>
      </c>
      <c r="K47" s="7">
        <f t="shared" si="11"/>
        <v>1</v>
      </c>
      <c r="L47" s="7">
        <v>1</v>
      </c>
      <c r="M47" s="7">
        <v>6</v>
      </c>
      <c r="N47" s="7">
        <v>1</v>
      </c>
      <c r="O47" s="7">
        <v>50</v>
      </c>
    </row>
    <row r="48" spans="1:15" x14ac:dyDescent="0.2">
      <c r="B48" s="6" t="s">
        <v>235</v>
      </c>
      <c r="E48" s="6" t="s">
        <v>250</v>
      </c>
      <c r="F48" s="6" t="s">
        <v>136</v>
      </c>
      <c r="G48" s="6" t="s">
        <v>238</v>
      </c>
      <c r="H48" s="6" t="s">
        <v>198</v>
      </c>
      <c r="J48" s="7">
        <f t="shared" ref="J48:K48" si="12">J46</f>
        <v>100</v>
      </c>
      <c r="K48" s="7">
        <f t="shared" si="12"/>
        <v>1</v>
      </c>
      <c r="L48" s="7">
        <v>0</v>
      </c>
      <c r="M48" s="7">
        <v>6</v>
      </c>
      <c r="N48" s="7">
        <v>1</v>
      </c>
      <c r="O48" s="7">
        <v>13</v>
      </c>
    </row>
    <row r="49" spans="1:15" x14ac:dyDescent="0.2">
      <c r="A49" s="6" t="s">
        <v>202</v>
      </c>
      <c r="B49" s="6" t="s">
        <v>208</v>
      </c>
      <c r="C49" s="6" t="str">
        <f>C47</f>
        <v>IL3</v>
      </c>
      <c r="D49" s="6" t="s">
        <v>209</v>
      </c>
      <c r="E49" s="6" t="s">
        <v>225</v>
      </c>
      <c r="F49" s="6" t="s">
        <v>136</v>
      </c>
      <c r="G49" s="6" t="s">
        <v>208</v>
      </c>
      <c r="H49" s="6" t="s">
        <v>198</v>
      </c>
      <c r="I49" s="6" t="str">
        <f>TestObjects[[#This Row],[Objectname]]</f>
        <v>IL3_p</v>
      </c>
      <c r="J49" s="7">
        <f t="shared" ref="J49:K49" si="13">J47</f>
        <v>100</v>
      </c>
      <c r="K49" s="7">
        <f t="shared" si="13"/>
        <v>1</v>
      </c>
      <c r="L49" s="7">
        <v>1</v>
      </c>
      <c r="M49" s="7">
        <f>M47</f>
        <v>6</v>
      </c>
      <c r="N49" s="7">
        <v>2</v>
      </c>
      <c r="O49" s="7">
        <v>50</v>
      </c>
    </row>
    <row r="50" spans="1:15" x14ac:dyDescent="0.2">
      <c r="B50" s="6" t="s">
        <v>235</v>
      </c>
      <c r="E50" s="6" t="s">
        <v>251</v>
      </c>
      <c r="F50" s="6" t="s">
        <v>136</v>
      </c>
      <c r="G50" s="6" t="s">
        <v>238</v>
      </c>
      <c r="H50" s="6" t="s">
        <v>198</v>
      </c>
      <c r="J50" s="7">
        <f t="shared" ref="J50:K50" si="14">J48</f>
        <v>100</v>
      </c>
      <c r="K50" s="7">
        <f t="shared" si="14"/>
        <v>1</v>
      </c>
      <c r="L50" s="7">
        <v>0</v>
      </c>
      <c r="M50" s="7">
        <v>6</v>
      </c>
      <c r="N50" s="7">
        <v>2</v>
      </c>
      <c r="O50" s="7">
        <v>13</v>
      </c>
    </row>
    <row r="51" spans="1:15" x14ac:dyDescent="0.2">
      <c r="A51" s="6" t="s">
        <v>202</v>
      </c>
      <c r="B51" s="6" t="s">
        <v>208</v>
      </c>
      <c r="C51" s="6" t="str">
        <f>C49</f>
        <v>IL3</v>
      </c>
      <c r="D51" s="6" t="s">
        <v>248</v>
      </c>
      <c r="E51" s="6" t="s">
        <v>231</v>
      </c>
      <c r="F51" s="6" t="s">
        <v>136</v>
      </c>
      <c r="G51" s="6" t="s">
        <v>208</v>
      </c>
      <c r="H51" s="6" t="s">
        <v>198</v>
      </c>
      <c r="I51" s="6" t="str">
        <f>TestObjects[[#This Row],[Objectname]]</f>
        <v>IL3_f</v>
      </c>
      <c r="J51" s="7">
        <f t="shared" ref="J51:K51" si="15">J49</f>
        <v>100</v>
      </c>
      <c r="K51" s="7">
        <f t="shared" si="15"/>
        <v>1</v>
      </c>
      <c r="L51" s="7">
        <v>1</v>
      </c>
      <c r="M51" s="7">
        <f>M49</f>
        <v>6</v>
      </c>
      <c r="N51" s="7">
        <v>3</v>
      </c>
      <c r="O51" s="7">
        <v>50</v>
      </c>
    </row>
    <row r="52" spans="1:15" x14ac:dyDescent="0.2">
      <c r="B52" s="6" t="s">
        <v>235</v>
      </c>
      <c r="E52" s="6" t="s">
        <v>252</v>
      </c>
      <c r="F52" s="6" t="s">
        <v>136</v>
      </c>
      <c r="G52" s="6" t="s">
        <v>238</v>
      </c>
      <c r="H52" s="6" t="s">
        <v>198</v>
      </c>
      <c r="J52" s="7">
        <f t="shared" ref="J52:K52" si="16">J50</f>
        <v>100</v>
      </c>
      <c r="K52" s="7">
        <f t="shared" si="16"/>
        <v>1</v>
      </c>
      <c r="L52" s="7">
        <v>0</v>
      </c>
      <c r="M52" s="7">
        <v>6</v>
      </c>
      <c r="N52" s="7">
        <v>3</v>
      </c>
      <c r="O52" s="7">
        <v>13</v>
      </c>
    </row>
    <row r="53" spans="1:15" x14ac:dyDescent="0.2">
      <c r="J53" s="7"/>
      <c r="K53" s="7"/>
      <c r="L53" s="7"/>
      <c r="M53" s="7"/>
      <c r="N53" s="7"/>
      <c r="O53" s="7"/>
    </row>
    <row r="54" spans="1:15" x14ac:dyDescent="0.2">
      <c r="A54" s="6" t="s">
        <v>202</v>
      </c>
      <c r="B54" s="6" t="s">
        <v>208</v>
      </c>
      <c r="E54" s="6" t="s">
        <v>232</v>
      </c>
      <c r="F54" s="6" t="str">
        <f>F49</f>
        <v>-104 Telegram</v>
      </c>
      <c r="G54" s="6" t="s">
        <v>208</v>
      </c>
      <c r="H54" s="6" t="s">
        <v>198</v>
      </c>
      <c r="I54" s="6" t="str">
        <f>TestObjects[[#This Row],[Objectname]]</f>
        <v>reset</v>
      </c>
      <c r="J54" s="7">
        <f>J49</f>
        <v>100</v>
      </c>
      <c r="K54" s="7">
        <v>1</v>
      </c>
      <c r="L54" s="7">
        <v>99</v>
      </c>
      <c r="M54" s="7">
        <v>0</v>
      </c>
      <c r="N54" s="7">
        <v>0</v>
      </c>
      <c r="O54" s="7">
        <v>50</v>
      </c>
    </row>
    <row r="55" spans="1:15" x14ac:dyDescent="0.2">
      <c r="J55" s="7"/>
      <c r="K55" s="7"/>
      <c r="L55" s="7"/>
      <c r="M55" s="7"/>
      <c r="N55" s="7"/>
      <c r="O55" s="7"/>
    </row>
    <row r="56" spans="1:15" x14ac:dyDescent="0.2">
      <c r="J56" s="7"/>
      <c r="K56" s="7"/>
      <c r="L56" s="7"/>
      <c r="M56" s="7"/>
      <c r="N56" s="7"/>
      <c r="O56" s="7"/>
    </row>
    <row r="57" spans="1:15" x14ac:dyDescent="0.2">
      <c r="J57" s="7"/>
      <c r="K57" s="7"/>
      <c r="L57" s="7"/>
      <c r="M57" s="7"/>
      <c r="N57" s="7"/>
      <c r="O57" s="7"/>
    </row>
    <row r="58" spans="1:15" x14ac:dyDescent="0.2">
      <c r="J58" s="7"/>
      <c r="K58" s="7"/>
      <c r="L58" s="7"/>
      <c r="M58" s="7"/>
      <c r="N58" s="7"/>
      <c r="O58" s="7"/>
    </row>
    <row r="59" spans="1:15" x14ac:dyDescent="0.2">
      <c r="A59" s="8" t="s">
        <v>237</v>
      </c>
      <c r="J59" s="7"/>
      <c r="K59" s="7"/>
      <c r="L59" s="7"/>
      <c r="M59" s="7"/>
      <c r="N59" s="7"/>
      <c r="O59" s="7"/>
    </row>
    <row r="60" spans="1:15" x14ac:dyDescent="0.2">
      <c r="A60" s="6" t="s">
        <v>233</v>
      </c>
      <c r="E60" s="6" t="s">
        <v>234</v>
      </c>
      <c r="F60" s="6" t="str">
        <f>F54</f>
        <v>-104 Telegram</v>
      </c>
      <c r="H60" s="6" t="str">
        <f>H54</f>
        <v>CMC_104</v>
      </c>
      <c r="J60" s="7">
        <v>100</v>
      </c>
      <c r="K60" s="7">
        <v>2</v>
      </c>
      <c r="L60" s="7">
        <v>1</v>
      </c>
      <c r="M60" s="7">
        <v>0</v>
      </c>
      <c r="N60" s="7">
        <v>0</v>
      </c>
      <c r="O60" s="7">
        <v>58</v>
      </c>
    </row>
    <row r="61" spans="1:15" x14ac:dyDescent="0.2">
      <c r="J61" s="7"/>
      <c r="K61" s="7"/>
      <c r="L61" s="7"/>
      <c r="M61" s="7"/>
      <c r="N61" s="7"/>
      <c r="O61" s="7"/>
    </row>
    <row r="62" spans="1:15" x14ac:dyDescent="0.2">
      <c r="J62" s="7"/>
      <c r="K62" s="7"/>
      <c r="L62" s="7"/>
      <c r="M62" s="7"/>
      <c r="N62" s="7"/>
      <c r="O62" s="7"/>
    </row>
    <row r="63" spans="1:15" x14ac:dyDescent="0.2">
      <c r="J63" s="7"/>
      <c r="K63" s="7"/>
      <c r="L63" s="7"/>
      <c r="M63" s="7"/>
      <c r="N63" s="7"/>
      <c r="O63" s="7"/>
    </row>
    <row r="64" spans="1:15" x14ac:dyDescent="0.2">
      <c r="J64" s="7"/>
      <c r="K64" s="7"/>
      <c r="L64" s="7"/>
      <c r="M64" s="7"/>
      <c r="N64" s="7"/>
      <c r="O64" s="7"/>
    </row>
    <row r="65" spans="10:15" x14ac:dyDescent="0.2">
      <c r="J65" s="7"/>
      <c r="K65" s="7"/>
      <c r="L65" s="7"/>
      <c r="M65" s="7"/>
      <c r="N65" s="7"/>
      <c r="O65" s="7"/>
    </row>
    <row r="66" spans="10:15" x14ac:dyDescent="0.2">
      <c r="J66" s="7"/>
      <c r="K66" s="7"/>
      <c r="L66" s="7"/>
      <c r="M66" s="7"/>
      <c r="N66" s="7"/>
      <c r="O66" s="7"/>
    </row>
    <row r="67" spans="10:15" x14ac:dyDescent="0.2">
      <c r="J67" s="7"/>
      <c r="K67" s="7"/>
      <c r="L67" s="7"/>
      <c r="M67" s="7"/>
      <c r="N67" s="7"/>
      <c r="O67" s="7"/>
    </row>
    <row r="68" spans="10:15" x14ac:dyDescent="0.2">
      <c r="J68" s="7"/>
      <c r="K68" s="7"/>
      <c r="L68" s="7"/>
      <c r="M68" s="7"/>
      <c r="N68" s="7"/>
      <c r="O68" s="7"/>
    </row>
    <row r="69" spans="10:15" x14ac:dyDescent="0.2">
      <c r="J69" s="7"/>
      <c r="K69" s="7"/>
      <c r="L69" s="7"/>
      <c r="M69" s="7"/>
      <c r="N69" s="7"/>
      <c r="O69" s="7"/>
    </row>
    <row r="70" spans="10:15" x14ac:dyDescent="0.2">
      <c r="J70" s="7"/>
      <c r="K70" s="7"/>
      <c r="L70" s="7"/>
      <c r="M70" s="7"/>
      <c r="N70" s="7"/>
      <c r="O70" s="7"/>
    </row>
    <row r="71" spans="10:15" x14ac:dyDescent="0.2">
      <c r="J71" s="7"/>
      <c r="K71" s="7"/>
      <c r="L71" s="7"/>
      <c r="M71" s="7"/>
      <c r="N71" s="7"/>
      <c r="O71" s="7"/>
    </row>
    <row r="72" spans="10:15" x14ac:dyDescent="0.2">
      <c r="J72" s="7"/>
      <c r="K72" s="7"/>
      <c r="L72" s="7"/>
      <c r="M72" s="7"/>
      <c r="N72" s="7"/>
      <c r="O72" s="7"/>
    </row>
    <row r="73" spans="10:15" x14ac:dyDescent="0.2">
      <c r="J73" s="7"/>
      <c r="K73" s="7"/>
      <c r="L73" s="7"/>
      <c r="M73" s="7"/>
      <c r="N73" s="7"/>
      <c r="O73" s="7"/>
    </row>
    <row r="74" spans="10:15" x14ac:dyDescent="0.2">
      <c r="J74" s="7"/>
      <c r="K74" s="7"/>
      <c r="L74" s="7"/>
      <c r="M74" s="7"/>
      <c r="N74" s="7"/>
      <c r="O74" s="7"/>
    </row>
  </sheetData>
  <phoneticPr fontId="5" type="noConversion"/>
  <pageMargins left="0.7" right="0.7" top="0.75" bottom="0.75" header="0.3" footer="0.3"/>
  <pageSetup paperSize="9" orientation="portrait" r:id="rId1"/>
  <headerFooter>
    <oddFooter>&amp;C_x000D_&amp;1#&amp;"Arial"&amp;8&amp;K13A10E C1 - Internal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20"/>
  <sheetViews>
    <sheetView zoomScale="85" zoomScaleNormal="85" workbookViewId="0">
      <selection activeCell="B31" sqref="B31"/>
    </sheetView>
  </sheetViews>
  <sheetFormatPr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headerFooter>
    <oddFooter>&amp;C_x000D_&amp;1#&amp;"Arial"&amp;8&amp;K13A10E C1 - Internal</oddFooter>
  </headerFooter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Thomas Kasseroler</cp:lastModifiedBy>
  <dcterms:created xsi:type="dcterms:W3CDTF">2016-11-21T12:16:59Z</dcterms:created>
  <dcterms:modified xsi:type="dcterms:W3CDTF">2024-10-17T04:50:43Z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  <property fmtid="{D5CDD505-2E9C-101B-9397-08002B2CF9AE}" pid="9" name="MSIP_Label_7153fe9b-4f78-4308-9e6f-9eb67701de62_Enabled">
    <vt:lpwstr>true</vt:lpwstr>
  </property>
  <property fmtid="{D5CDD505-2E9C-101B-9397-08002B2CF9AE}" pid="10" name="MSIP_Label_7153fe9b-4f78-4308-9e6f-9eb67701de62_SetDate">
    <vt:lpwstr>2024-10-14T07:13:29Z</vt:lpwstr>
  </property>
  <property fmtid="{D5CDD505-2E9C-101B-9397-08002B2CF9AE}" pid="11" name="MSIP_Label_7153fe9b-4f78-4308-9e6f-9eb67701de62_Method">
    <vt:lpwstr>Standard</vt:lpwstr>
  </property>
  <property fmtid="{D5CDD505-2E9C-101B-9397-08002B2CF9AE}" pid="12" name="MSIP_Label_7153fe9b-4f78-4308-9e6f-9eb67701de62_Name">
    <vt:lpwstr>C1 - Internal</vt:lpwstr>
  </property>
  <property fmtid="{D5CDD505-2E9C-101B-9397-08002B2CF9AE}" pid="13" name="MSIP_Label_7153fe9b-4f78-4308-9e6f-9eb67701de62_SiteId">
    <vt:lpwstr>1357ca9e-a1a5-404b-bb16-554d5d05c5c9</vt:lpwstr>
  </property>
  <property fmtid="{D5CDD505-2E9C-101B-9397-08002B2CF9AE}" pid="14" name="MSIP_Label_7153fe9b-4f78-4308-9e6f-9eb67701de62_ActionId">
    <vt:lpwstr>df20b19c-d2e7-4869-83d6-7303f324ccb5</vt:lpwstr>
  </property>
  <property fmtid="{D5CDD505-2E9C-101B-9397-08002B2CF9AE}" pid="15" name="MSIP_Label_7153fe9b-4f78-4308-9e6f-9eb67701de62_ContentBits">
    <vt:lpwstr>2</vt:lpwstr>
  </property>
</Properties>
</file>